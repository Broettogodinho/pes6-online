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os\projetos\pes6-online\docs\"/>
    </mc:Choice>
  </mc:AlternateContent>
  <xr:revisionPtr revIDLastSave="0" documentId="13_ncr:1_{12115C56-0F95-40E1-BE01-1CCE86BCC2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ia-me" sheetId="1" r:id="rId1"/>
    <sheet name="Resumo" sheetId="2" r:id="rId2"/>
    <sheet name="Sessoes" sheetId="3" r:id="rId3"/>
    <sheet name="Partidas" sheetId="4" r:id="rId4"/>
    <sheet name="Notas" sheetId="5" r:id="rId5"/>
  </sheets>
  <definedNames>
    <definedName name="amostra_T2">Resumo!$B$10</definedName>
    <definedName name="amostra_T3">Resumo!$B$11</definedName>
    <definedName name="amostra_T4">Resumo!$B$12</definedName>
    <definedName name="copa_ok">Resumo!$B$22</definedName>
    <definedName name="fps_config">Resumo!$B$7</definedName>
    <definedName name="limitacao">Resumo!$B$23</definedName>
    <definedName name="meta_enc">Resumo!$B$13</definedName>
    <definedName name="meta_enc30">Resumo!$B$6</definedName>
    <definedName name="meta_enc60">Resumo!$B$5</definedName>
    <definedName name="meta_nota">Resumo!$B$8</definedName>
    <definedName name="meta_ping">Resumo!$B$4</definedName>
    <definedName name="meta_quedas">Resumo!$B$9</definedName>
  </definedNames>
  <calcPr calcId="181029"/>
</workbook>
</file>

<file path=xl/calcChain.xml><?xml version="1.0" encoding="utf-8"?>
<calcChain xmlns="http://schemas.openxmlformats.org/spreadsheetml/2006/main">
  <c r="U202" i="4" l="1"/>
  <c r="T202" i="4"/>
  <c r="U201" i="4"/>
  <c r="T201" i="4"/>
  <c r="U200" i="4"/>
  <c r="T200" i="4"/>
  <c r="U199" i="4"/>
  <c r="T199" i="4"/>
  <c r="G18" i="2" s="1" a="1"/>
  <c r="G18" i="2" s="1"/>
  <c r="U198" i="4"/>
  <c r="T198" i="4"/>
  <c r="U197" i="4"/>
  <c r="T197" i="4"/>
  <c r="U196" i="4"/>
  <c r="T196" i="4"/>
  <c r="U195" i="4"/>
  <c r="T195" i="4"/>
  <c r="U194" i="4"/>
  <c r="T194" i="4"/>
  <c r="U193" i="4"/>
  <c r="T193" i="4"/>
  <c r="U192" i="4"/>
  <c r="T192" i="4"/>
  <c r="U191" i="4"/>
  <c r="T191" i="4"/>
  <c r="U190" i="4"/>
  <c r="T190" i="4"/>
  <c r="U189" i="4"/>
  <c r="T189" i="4"/>
  <c r="U188" i="4"/>
  <c r="T188" i="4"/>
  <c r="U187" i="4"/>
  <c r="T187" i="4"/>
  <c r="U186" i="4"/>
  <c r="T186" i="4"/>
  <c r="U185" i="4"/>
  <c r="T185" i="4"/>
  <c r="U184" i="4"/>
  <c r="T184" i="4"/>
  <c r="U183" i="4"/>
  <c r="T183" i="4"/>
  <c r="U182" i="4"/>
  <c r="T182" i="4"/>
  <c r="U181" i="4"/>
  <c r="T181" i="4"/>
  <c r="U180" i="4"/>
  <c r="T180" i="4"/>
  <c r="U179" i="4"/>
  <c r="T179" i="4"/>
  <c r="U178" i="4"/>
  <c r="T178" i="4"/>
  <c r="U177" i="4"/>
  <c r="T177" i="4"/>
  <c r="U176" i="4"/>
  <c r="T176" i="4"/>
  <c r="U175" i="4"/>
  <c r="T175" i="4"/>
  <c r="U174" i="4"/>
  <c r="T174" i="4"/>
  <c r="U173" i="4"/>
  <c r="T173" i="4"/>
  <c r="U172" i="4"/>
  <c r="T172" i="4"/>
  <c r="U171" i="4"/>
  <c r="T171" i="4"/>
  <c r="U170" i="4"/>
  <c r="T170" i="4"/>
  <c r="U169" i="4"/>
  <c r="T169" i="4"/>
  <c r="U168" i="4"/>
  <c r="T168" i="4"/>
  <c r="U167" i="4"/>
  <c r="T167" i="4"/>
  <c r="U166" i="4"/>
  <c r="T166" i="4"/>
  <c r="U165" i="4"/>
  <c r="T165" i="4"/>
  <c r="U164" i="4"/>
  <c r="T164" i="4"/>
  <c r="U163" i="4"/>
  <c r="T163" i="4"/>
  <c r="U162" i="4"/>
  <c r="T162" i="4"/>
  <c r="U161" i="4"/>
  <c r="T161" i="4"/>
  <c r="U160" i="4"/>
  <c r="T160" i="4"/>
  <c r="U159" i="4"/>
  <c r="T159" i="4"/>
  <c r="U158" i="4"/>
  <c r="T158" i="4"/>
  <c r="U157" i="4"/>
  <c r="T157" i="4"/>
  <c r="U156" i="4"/>
  <c r="T156" i="4"/>
  <c r="U155" i="4"/>
  <c r="T155" i="4"/>
  <c r="U154" i="4"/>
  <c r="T154" i="4"/>
  <c r="U153" i="4"/>
  <c r="T153" i="4"/>
  <c r="U152" i="4"/>
  <c r="T152" i="4"/>
  <c r="U151" i="4"/>
  <c r="T151" i="4"/>
  <c r="U150" i="4"/>
  <c r="T150" i="4"/>
  <c r="U149" i="4"/>
  <c r="T149" i="4"/>
  <c r="U148" i="4"/>
  <c r="T148" i="4"/>
  <c r="U147" i="4"/>
  <c r="T147" i="4"/>
  <c r="U146" i="4"/>
  <c r="T146" i="4"/>
  <c r="U145" i="4"/>
  <c r="T145" i="4"/>
  <c r="U144" i="4"/>
  <c r="T144" i="4"/>
  <c r="U143" i="4"/>
  <c r="T143" i="4"/>
  <c r="U142" i="4"/>
  <c r="T142" i="4"/>
  <c r="U141" i="4"/>
  <c r="T141" i="4"/>
  <c r="U140" i="4"/>
  <c r="T140" i="4"/>
  <c r="U139" i="4"/>
  <c r="T139" i="4"/>
  <c r="U138" i="4"/>
  <c r="T138" i="4"/>
  <c r="U137" i="4"/>
  <c r="T137" i="4"/>
  <c r="U136" i="4"/>
  <c r="T136" i="4"/>
  <c r="U135" i="4"/>
  <c r="T135" i="4"/>
  <c r="U134" i="4"/>
  <c r="T134" i="4"/>
  <c r="U133" i="4"/>
  <c r="T133" i="4"/>
  <c r="U132" i="4"/>
  <c r="T132" i="4"/>
  <c r="U131" i="4"/>
  <c r="T131" i="4"/>
  <c r="U130" i="4"/>
  <c r="T130" i="4"/>
  <c r="U129" i="4"/>
  <c r="T129" i="4"/>
  <c r="U128" i="4"/>
  <c r="T128" i="4"/>
  <c r="U127" i="4"/>
  <c r="T127" i="4"/>
  <c r="U126" i="4"/>
  <c r="T126" i="4"/>
  <c r="U125" i="4"/>
  <c r="T125" i="4"/>
  <c r="U124" i="4"/>
  <c r="T124" i="4"/>
  <c r="U123" i="4"/>
  <c r="T123" i="4"/>
  <c r="U122" i="4"/>
  <c r="T122" i="4"/>
  <c r="U121" i="4"/>
  <c r="T121" i="4"/>
  <c r="U120" i="4"/>
  <c r="T120" i="4"/>
  <c r="U119" i="4"/>
  <c r="T119" i="4"/>
  <c r="U118" i="4"/>
  <c r="T118" i="4"/>
  <c r="U117" i="4"/>
  <c r="T117" i="4"/>
  <c r="U116" i="4"/>
  <c r="T116" i="4"/>
  <c r="U115" i="4"/>
  <c r="T115" i="4"/>
  <c r="U114" i="4"/>
  <c r="T114" i="4"/>
  <c r="U113" i="4"/>
  <c r="T113" i="4"/>
  <c r="U112" i="4"/>
  <c r="T112" i="4"/>
  <c r="U111" i="4"/>
  <c r="T111" i="4"/>
  <c r="U110" i="4"/>
  <c r="T110" i="4"/>
  <c r="U109" i="4"/>
  <c r="T109" i="4"/>
  <c r="U108" i="4"/>
  <c r="T108" i="4"/>
  <c r="U107" i="4"/>
  <c r="T107" i="4"/>
  <c r="U106" i="4"/>
  <c r="T106" i="4"/>
  <c r="U105" i="4"/>
  <c r="T105" i="4"/>
  <c r="U104" i="4"/>
  <c r="T104" i="4"/>
  <c r="U103" i="4"/>
  <c r="T103" i="4"/>
  <c r="U102" i="4"/>
  <c r="T102" i="4"/>
  <c r="U101" i="4"/>
  <c r="T101" i="4"/>
  <c r="U100" i="4"/>
  <c r="T100" i="4"/>
  <c r="U99" i="4"/>
  <c r="T99" i="4"/>
  <c r="U98" i="4"/>
  <c r="T98" i="4"/>
  <c r="U97" i="4"/>
  <c r="T97" i="4"/>
  <c r="U96" i="4"/>
  <c r="T96" i="4"/>
  <c r="U95" i="4"/>
  <c r="T95" i="4"/>
  <c r="U94" i="4"/>
  <c r="T94" i="4"/>
  <c r="U93" i="4"/>
  <c r="T93" i="4"/>
  <c r="U92" i="4"/>
  <c r="T92" i="4"/>
  <c r="U91" i="4"/>
  <c r="T91" i="4"/>
  <c r="U90" i="4"/>
  <c r="T90" i="4"/>
  <c r="U89" i="4"/>
  <c r="T89" i="4"/>
  <c r="U88" i="4"/>
  <c r="T88" i="4"/>
  <c r="U87" i="4"/>
  <c r="T87" i="4"/>
  <c r="U86" i="4"/>
  <c r="T86" i="4"/>
  <c r="U85" i="4"/>
  <c r="T85" i="4"/>
  <c r="U84" i="4"/>
  <c r="T84" i="4"/>
  <c r="U83" i="4"/>
  <c r="T83" i="4"/>
  <c r="U82" i="4"/>
  <c r="T82" i="4"/>
  <c r="U81" i="4"/>
  <c r="T81" i="4"/>
  <c r="U80" i="4"/>
  <c r="T80" i="4"/>
  <c r="U79" i="4"/>
  <c r="T79" i="4"/>
  <c r="U78" i="4"/>
  <c r="T78" i="4"/>
  <c r="U77" i="4"/>
  <c r="T77" i="4"/>
  <c r="U76" i="4"/>
  <c r="T76" i="4"/>
  <c r="U75" i="4"/>
  <c r="T75" i="4"/>
  <c r="U74" i="4"/>
  <c r="T74" i="4"/>
  <c r="U73" i="4"/>
  <c r="T73" i="4"/>
  <c r="U72" i="4"/>
  <c r="T72" i="4"/>
  <c r="U71" i="4"/>
  <c r="T71" i="4"/>
  <c r="U70" i="4"/>
  <c r="T70" i="4"/>
  <c r="U69" i="4"/>
  <c r="T69" i="4"/>
  <c r="U68" i="4"/>
  <c r="T68" i="4"/>
  <c r="U67" i="4"/>
  <c r="T67" i="4"/>
  <c r="U66" i="4"/>
  <c r="T66" i="4"/>
  <c r="U65" i="4"/>
  <c r="T65" i="4"/>
  <c r="U64" i="4"/>
  <c r="T64" i="4"/>
  <c r="U63" i="4"/>
  <c r="T63" i="4"/>
  <c r="U62" i="4"/>
  <c r="T62" i="4"/>
  <c r="U61" i="4"/>
  <c r="T61" i="4"/>
  <c r="U60" i="4"/>
  <c r="T60" i="4"/>
  <c r="U59" i="4"/>
  <c r="T59" i="4"/>
  <c r="U58" i="4"/>
  <c r="T58" i="4"/>
  <c r="U57" i="4"/>
  <c r="T57" i="4"/>
  <c r="U56" i="4"/>
  <c r="T56" i="4"/>
  <c r="U55" i="4"/>
  <c r="T55" i="4"/>
  <c r="U54" i="4"/>
  <c r="T54" i="4"/>
  <c r="U53" i="4"/>
  <c r="T53" i="4"/>
  <c r="U52" i="4"/>
  <c r="T52" i="4"/>
  <c r="U51" i="4"/>
  <c r="T51" i="4"/>
  <c r="U50" i="4"/>
  <c r="T50" i="4"/>
  <c r="U49" i="4"/>
  <c r="T49" i="4"/>
  <c r="U48" i="4"/>
  <c r="T48" i="4"/>
  <c r="U47" i="4"/>
  <c r="T47" i="4"/>
  <c r="U46" i="4"/>
  <c r="T46" i="4"/>
  <c r="U45" i="4"/>
  <c r="T45" i="4"/>
  <c r="U44" i="4"/>
  <c r="T44" i="4"/>
  <c r="U43" i="4"/>
  <c r="T43" i="4"/>
  <c r="U42" i="4"/>
  <c r="T42" i="4"/>
  <c r="U41" i="4"/>
  <c r="T41" i="4"/>
  <c r="U40" i="4"/>
  <c r="T40" i="4"/>
  <c r="U39" i="4"/>
  <c r="T39" i="4"/>
  <c r="U38" i="4"/>
  <c r="T38" i="4"/>
  <c r="U37" i="4"/>
  <c r="T37" i="4"/>
  <c r="U36" i="4"/>
  <c r="T36" i="4"/>
  <c r="U35" i="4"/>
  <c r="T35" i="4"/>
  <c r="U34" i="4"/>
  <c r="T34" i="4"/>
  <c r="U33" i="4"/>
  <c r="T33" i="4"/>
  <c r="U32" i="4"/>
  <c r="T32" i="4"/>
  <c r="U31" i="4"/>
  <c r="T31" i="4"/>
  <c r="U30" i="4"/>
  <c r="T30" i="4"/>
  <c r="U29" i="4"/>
  <c r="T29" i="4"/>
  <c r="U28" i="4"/>
  <c r="T28" i="4"/>
  <c r="U27" i="4"/>
  <c r="T27" i="4"/>
  <c r="U26" i="4"/>
  <c r="T26" i="4"/>
  <c r="U25" i="4"/>
  <c r="T25" i="4"/>
  <c r="U24" i="4"/>
  <c r="T24" i="4"/>
  <c r="U23" i="4"/>
  <c r="T23" i="4"/>
  <c r="U22" i="4"/>
  <c r="T22" i="4"/>
  <c r="U21" i="4"/>
  <c r="T21" i="4"/>
  <c r="U20" i="4"/>
  <c r="T20" i="4"/>
  <c r="U19" i="4"/>
  <c r="T19" i="4"/>
  <c r="U18" i="4"/>
  <c r="T18" i="4"/>
  <c r="U17" i="4"/>
  <c r="T17" i="4"/>
  <c r="U16" i="4"/>
  <c r="T16" i="4"/>
  <c r="U15" i="4"/>
  <c r="T15" i="4"/>
  <c r="U14" i="4"/>
  <c r="T14" i="4"/>
  <c r="U13" i="4"/>
  <c r="T13" i="4"/>
  <c r="U12" i="4"/>
  <c r="T12" i="4"/>
  <c r="U11" i="4"/>
  <c r="T11" i="4"/>
  <c r="U10" i="4"/>
  <c r="T10" i="4"/>
  <c r="U9" i="4"/>
  <c r="T9" i="4"/>
  <c r="U8" i="4"/>
  <c r="T8" i="4"/>
  <c r="U7" i="4"/>
  <c r="T7" i="4"/>
  <c r="E17" i="2" s="1" a="1"/>
  <c r="E17" i="2" s="1"/>
  <c r="U6" i="4"/>
  <c r="T6" i="4"/>
  <c r="U5" i="4"/>
  <c r="T5" i="4"/>
  <c r="G19" i="2" s="1" a="1"/>
  <c r="G19" i="2" s="1"/>
  <c r="U4" i="4"/>
  <c r="T4" i="4"/>
  <c r="U3" i="4"/>
  <c r="T3" i="4"/>
  <c r="U2" i="4"/>
  <c r="T2" i="4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B25" i="2"/>
  <c r="K19" i="2" a="1"/>
  <c r="K19" i="2" s="1"/>
  <c r="C19" i="2"/>
  <c r="B19" i="2"/>
  <c r="D19" i="2" s="1"/>
  <c r="K18" i="2" a="1"/>
  <c r="K18" i="2" s="1"/>
  <c r="C18" i="2"/>
  <c r="B18" i="2"/>
  <c r="D18" i="2" s="1"/>
  <c r="K17" i="2" a="1"/>
  <c r="K17" i="2" s="1"/>
  <c r="C17" i="2"/>
  <c r="B17" i="2"/>
  <c r="D17" i="2" s="1"/>
  <c r="B13" i="2"/>
  <c r="H18" i="2" l="1"/>
  <c r="N17" i="2" a="1"/>
  <c r="N17" i="2" s="1"/>
  <c r="M19" i="2" a="1"/>
  <c r="M19" i="2" s="1"/>
  <c r="E18" i="2" a="1"/>
  <c r="E18" i="2" s="1"/>
  <c r="F18" i="2" s="1"/>
  <c r="M18" i="2" a="1"/>
  <c r="M18" i="2" s="1"/>
  <c r="N18" i="2" a="1"/>
  <c r="N18" i="2" s="1"/>
  <c r="G17" i="2" a="1"/>
  <c r="G17" i="2" s="1"/>
  <c r="H17" i="2" s="1"/>
  <c r="I17" i="2" a="1"/>
  <c r="I17" i="2" s="1"/>
  <c r="J17" i="2" s="1"/>
  <c r="E19" i="2" a="1"/>
  <c r="E19" i="2" s="1"/>
  <c r="F19" i="2" s="1"/>
  <c r="I18" i="2" a="1"/>
  <c r="I18" i="2" s="1"/>
  <c r="J18" i="2" s="1"/>
  <c r="F17" i="2"/>
  <c r="L17" i="2"/>
  <c r="L19" i="2"/>
  <c r="H19" i="2"/>
  <c r="N19" i="2" a="1"/>
  <c r="N19" i="2" s="1"/>
  <c r="L18" i="2"/>
  <c r="I19" i="2" a="1"/>
  <c r="I19" i="2" s="1"/>
  <c r="J19" i="2" s="1"/>
  <c r="M17" i="2" a="1"/>
  <c r="M17" i="2" s="1"/>
  <c r="B2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SCRUM-48</author>
  </authors>
  <commentList>
    <comment ref="L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Formato do Parsec (ex.: 0/0/0) ou %; fonte a confirmar na PoC-01.</t>
        </r>
      </text>
    </comment>
    <comment ref="T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Fórmula: SIM quando o anfitrião não jogou. Só partidas SIM entram nas medianas.</t>
        </r>
      </text>
    </comment>
  </commentList>
</comments>
</file>

<file path=xl/sharedStrings.xml><?xml version="1.0" encoding="utf-8"?>
<sst xmlns="http://schemas.openxmlformats.org/spreadsheetml/2006/main" count="116" uniqueCount="108">
  <si>
    <t>PoC Sofá Virtual (Parsec) — resultados</t>
  </si>
  <si>
    <t>Planilha de coleta da Fase 1 (SCRUM-48). Protocolo: docs/poc-parsec.md · checklist: docs/poc-parsec-checklist.md</t>
  </si>
  <si>
    <t>Como preencher</t>
  </si>
  <si>
    <t>1. Sessoes: uma linha por sessão, com as condições fixas do §5 do protocolo. O ID (S01, S02…) é usado na aba Partidas.</t>
  </si>
  <si>
    <t>2. Partidas: uma linha por partida. Cenário T5 = partida em que houve queda provocada (fica fora das medianas de T2–T4).</t>
  </si>
  <si>
    <t>3. Notas: nota geral (1–5) de cada participante ao fim da sessão.</t>
  </si>
  <si>
    <t>4. Resumo: não precisa editar, exceto as metas e as duas perguntas finais (células amarelas).</t>
  </si>
  <si>
    <t>Cores</t>
  </si>
  <si>
    <t>Amarelo = preencher · Cinza = fórmula (não editar) · Linha em itálico com 'EXEMPLO' = formato esperado, ignorada nos cálculos.</t>
  </si>
  <si>
    <t>Anonimização (os resultados vão para o git)</t>
  </si>
  <si>
    <t>Use só apelidos J1…J8 (anfitrião = ANF) e o estado/região de cada um. Nada de nome, cidade ou provedor.</t>
  </si>
  <si>
    <t>A tabela apelido → nome fica só com o anfitrião, fora do repositório.</t>
  </si>
  <si>
    <t>Regras de cálculo</t>
  </si>
  <si>
    <t>• Partidas em que o anfitrião jogou (coluna 'Anfitrião jogou' = S) ficam fora das medianas de ping, encode, decode e nota de controle.</t>
  </si>
  <si>
    <t>• As medianas só valem se o cenário atingiu a amostra mínima (T2 ≥ 3, T3 ≥ 6, T4 = Copa completa); antes disso o portão mostra '—'.</t>
  </si>
  <si>
    <t>• Metas e amostras vêm do §5/§6 de docs/poc-parsec.md (revisão de 2026-10-15) e ficam editáveis na aba Resumo.</t>
  </si>
  <si>
    <t>Resumo e critérios de aprovação (§6 de docs/poc-parsec.md)</t>
  </si>
  <si>
    <t>Metas (editáveis)</t>
  </si>
  <si>
    <t>Ping máximo (mediana, ms)</t>
  </si>
  <si>
    <t>Encode máximo a 60 FPS (ms)</t>
  </si>
  <si>
    <t>Encode máximo a 30 FPS (ms)</t>
  </si>
  <si>
    <t>FPS configurado no Parsec</t>
  </si>
  <si>
    <t>Nota mínima de controle (mediana)</t>
  </si>
  <si>
    <t>Quedas máximas por sessão</t>
  </si>
  <si>
    <t>Amostra mínima T2 (partidas válidas)</t>
  </si>
  <si>
    <t>Amostra mínima T3 (partidas válidas)</t>
  </si>
  <si>
    <t>Partidas da Copa completa (T4)</t>
  </si>
  <si>
    <t>Ajustar ao formato da Copa usada no T4 (8 times em mata-mata = 7 partidas).</t>
  </si>
  <si>
    <t>Meta de encode efetiva (ms)</t>
  </si>
  <si>
    <t>Por cenário (só partidas válidas: anfitrião não jogou)</t>
  </si>
  <si>
    <t>Cenário</t>
  </si>
  <si>
    <t>Partidas válidas</t>
  </si>
  <si>
    <t>Amostra mínima</t>
  </si>
  <si>
    <t>Amostra atingida?</t>
  </si>
  <si>
    <t>Mediana ping (ms)</t>
  </si>
  <si>
    <t>Portão ping</t>
  </si>
  <si>
    <t>Mediana encode (ms)</t>
  </si>
  <si>
    <t>Portão encode</t>
  </si>
  <si>
    <t>Mediana nota controle</t>
  </si>
  <si>
    <t>Portão nota</t>
  </si>
  <si>
    <t>Maior nº de quedas numa sessão</t>
  </si>
  <si>
    <t>Portão quedas</t>
  </si>
  <si>
    <t>Mediana decode (ms)</t>
  </si>
  <si>
    <t>Mediana troca (s)</t>
  </si>
  <si>
    <t>T2</t>
  </si>
  <si>
    <t>T3</t>
  </si>
  <si>
    <t>T4</t>
  </si>
  <si>
    <t>Perguntas finais (preencher ao fim do T4)</t>
  </si>
  <si>
    <t>T4 terminou com campeão definido, sem perder o progresso da Copa? (S/N)</t>
  </si>
  <si>
    <t>Alguma limitação do Parsec ou do jogo impediu a Copa com 8 humanos? (S/N)</t>
  </si>
  <si>
    <t>Nota geral da experiência (mediana)</t>
  </si>
  <si>
    <t>RESULTADO DA FASE 1</t>
  </si>
  <si>
    <t>Reprovação parcial vira ajuste do plano no ADR-003 (§6 do protocolo).</t>
  </si>
  <si>
    <t>ID da sessão</t>
  </si>
  <si>
    <t>Data</t>
  </si>
  <si>
    <t>Horário de início</t>
  </si>
  <si>
    <t>Versão do Parsec</t>
  </si>
  <si>
    <t>Resolução</t>
  </si>
  <si>
    <t>FPS do Parsec</t>
  </si>
  <si>
    <t>Bitrate (Mbps)</t>
  </si>
  <si>
    <t>Codec</t>
  </si>
  <si>
    <t>Tempo de jogo (min)</t>
  </si>
  <si>
    <t>Dificuldade</t>
  </si>
  <si>
    <t>Upload medido (Mbps)</t>
  </si>
  <si>
    <t>Versão da DLL de mods (T4)</t>
  </si>
  <si>
    <t>Participantes e região (ex.: J1 SP; J2 RJ)</t>
  </si>
  <si>
    <t>Quedas não provocadas</t>
  </si>
  <si>
    <t>Observações</t>
  </si>
  <si>
    <t>EXEMPLO</t>
  </si>
  <si>
    <t>2026-11-05</t>
  </si>
  <si>
    <t>20:00</t>
  </si>
  <si>
    <t>150-9x</t>
  </si>
  <si>
    <t>1920x1080</t>
  </si>
  <si>
    <t>H.265</t>
  </si>
  <si>
    <t>Profissional</t>
  </si>
  <si>
    <t>—</t>
  </si>
  <si>
    <t>ANF SP; J1 RJ</t>
  </si>
  <si>
    <t>Linha de exemplo — formato esperado</t>
  </si>
  <si>
    <t>Sessão</t>
  </si>
  <si>
    <t>Partida nº</t>
  </si>
  <si>
    <t>Jogador A</t>
  </si>
  <si>
    <t>Jogador B</t>
  </si>
  <si>
    <t>Anfitrião jogou? (S/N)</t>
  </si>
  <si>
    <t>Ping A (ms)</t>
  </si>
  <si>
    <t>Ping B (ms)</t>
  </si>
  <si>
    <t>Encode (ms)</t>
  </si>
  <si>
    <t>Decode A (ms)</t>
  </si>
  <si>
    <t>Decode B (ms)</t>
  </si>
  <si>
    <t>Perda de pacotes</t>
  </si>
  <si>
    <t>FPS do stream</t>
  </si>
  <si>
    <t>FPS do jogo</t>
  </si>
  <si>
    <t>Upload usado (Mbps)</t>
  </si>
  <si>
    <t>Troca de controle (s)</t>
  </si>
  <si>
    <t>Quedas</t>
  </si>
  <si>
    <t>Nota controle A (1–5)</t>
  </si>
  <si>
    <t>Nota controle B (1–5)</t>
  </si>
  <si>
    <t>Válida p/ mediana</t>
  </si>
  <si>
    <t>Upload % do medido</t>
  </si>
  <si>
    <t>Notas</t>
  </si>
  <si>
    <t>ANF</t>
  </si>
  <si>
    <t>J1</t>
  </si>
  <si>
    <t>S</t>
  </si>
  <si>
    <t>0/0/0</t>
  </si>
  <si>
    <t>Linha de exemplo — anfitrião jogou, então não entra nas medianas</t>
  </si>
  <si>
    <t>Apelido</t>
  </si>
  <si>
    <t>Nota geral (1–5)</t>
  </si>
  <si>
    <t>Comentário</t>
  </si>
  <si>
    <t>Linha de 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</si>
</sst>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i/>
      <sz val="10"/>
      <color rgb="FF808080"/>
      <name val="Arial"/>
    </font>
    <font>
      <b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4" borderId="1" xfId="0" applyFont="1" applyFill="1" applyBorder="1"/>
    <xf numFmtId="0" fontId="5" fillId="0" borderId="0" xfId="0" applyFont="1"/>
    <xf numFmtId="0" fontId="2" fillId="5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/>
    <xf numFmtId="0" fontId="6" fillId="0" borderId="0" xfId="0" applyFont="1"/>
    <xf numFmtId="0" fontId="5" fillId="3" borderId="1" xfId="0" applyFont="1" applyFill="1" applyBorder="1"/>
    <xf numFmtId="0" fontId="5" fillId="5" borderId="1" xfId="0" applyFont="1" applyFill="1" applyBorder="1"/>
    <xf numFmtId="9" fontId="5" fillId="5" borderId="1" xfId="0" applyNumberFormat="1" applyFont="1" applyFill="1" applyBorder="1"/>
    <xf numFmtId="9" fontId="2" fillId="5" borderId="1" xfId="0" applyNumberFormat="1" applyFont="1" applyFill="1" applyBorder="1"/>
    <xf numFmtId="0" fontId="6" fillId="5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/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/>
    </row>
    <row r="10" spans="1:1" x14ac:dyDescent="0.25">
      <c r="A10" s="3" t="s">
        <v>7</v>
      </c>
    </row>
    <row r="11" spans="1:1" ht="25.5" x14ac:dyDescent="0.25">
      <c r="A11" s="2" t="s">
        <v>8</v>
      </c>
    </row>
    <row r="12" spans="1:1" x14ac:dyDescent="0.25">
      <c r="A12" s="2"/>
    </row>
    <row r="13" spans="1:1" x14ac:dyDescent="0.25">
      <c r="A13" s="3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/>
    </row>
    <row r="17" spans="1:1" x14ac:dyDescent="0.25">
      <c r="A17" s="3" t="s">
        <v>12</v>
      </c>
    </row>
    <row r="18" spans="1:1" ht="25.5" x14ac:dyDescent="0.25">
      <c r="A18" s="2" t="s">
        <v>13</v>
      </c>
    </row>
    <row r="19" spans="1:1" ht="25.5" x14ac:dyDescent="0.25">
      <c r="A19" s="2" t="s">
        <v>14</v>
      </c>
    </row>
    <row r="20" spans="1:1" x14ac:dyDescent="0.25">
      <c r="A20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workbookViewId="0"/>
  </sheetViews>
  <sheetFormatPr defaultRowHeight="15" x14ac:dyDescent="0.25"/>
  <cols>
    <col min="1" max="1" width="34" customWidth="1"/>
    <col min="2" max="14" width="13" customWidth="1"/>
  </cols>
  <sheetData>
    <row r="1" spans="1:14" ht="18" x14ac:dyDescent="0.25">
      <c r="A1" s="4" t="s">
        <v>16</v>
      </c>
    </row>
    <row r="3" spans="1:14" x14ac:dyDescent="0.25">
      <c r="A3" s="5" t="s">
        <v>17</v>
      </c>
    </row>
    <row r="4" spans="1:14" x14ac:dyDescent="0.25">
      <c r="A4" s="6" t="s">
        <v>18</v>
      </c>
      <c r="B4" s="7">
        <v>60</v>
      </c>
    </row>
    <row r="5" spans="1:14" x14ac:dyDescent="0.25">
      <c r="A5" s="6" t="s">
        <v>19</v>
      </c>
      <c r="B5" s="7">
        <v>15</v>
      </c>
    </row>
    <row r="6" spans="1:14" x14ac:dyDescent="0.25">
      <c r="A6" s="6" t="s">
        <v>20</v>
      </c>
      <c r="B6" s="7">
        <v>32</v>
      </c>
    </row>
    <row r="7" spans="1:14" x14ac:dyDescent="0.25">
      <c r="A7" s="6" t="s">
        <v>21</v>
      </c>
      <c r="B7" s="7">
        <v>60</v>
      </c>
    </row>
    <row r="8" spans="1:14" x14ac:dyDescent="0.25">
      <c r="A8" s="6" t="s">
        <v>22</v>
      </c>
      <c r="B8" s="7">
        <v>4</v>
      </c>
    </row>
    <row r="9" spans="1:14" x14ac:dyDescent="0.25">
      <c r="A9" s="6" t="s">
        <v>23</v>
      </c>
      <c r="B9" s="7">
        <v>1</v>
      </c>
    </row>
    <row r="10" spans="1:14" x14ac:dyDescent="0.25">
      <c r="A10" s="6" t="s">
        <v>24</v>
      </c>
      <c r="B10" s="7">
        <v>3</v>
      </c>
    </row>
    <row r="11" spans="1:14" x14ac:dyDescent="0.25">
      <c r="A11" s="6" t="s">
        <v>25</v>
      </c>
      <c r="B11" s="7">
        <v>6</v>
      </c>
    </row>
    <row r="12" spans="1:14" x14ac:dyDescent="0.25">
      <c r="A12" s="6" t="s">
        <v>26</v>
      </c>
      <c r="B12" s="7">
        <v>7</v>
      </c>
      <c r="C12" s="8" t="s">
        <v>27</v>
      </c>
    </row>
    <row r="13" spans="1:14" x14ac:dyDescent="0.25">
      <c r="A13" s="6" t="s">
        <v>28</v>
      </c>
      <c r="B13" s="9">
        <f>IF(fps_config&gt;=60,meta_enc60,meta_enc30)</f>
        <v>15</v>
      </c>
    </row>
    <row r="15" spans="1:14" x14ac:dyDescent="0.25">
      <c r="A15" s="5" t="s">
        <v>29</v>
      </c>
    </row>
    <row r="16" spans="1:14" ht="42" customHeight="1" x14ac:dyDescent="0.25">
      <c r="A16" s="10" t="s">
        <v>30</v>
      </c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36</v>
      </c>
      <c r="H16" s="10" t="s">
        <v>37</v>
      </c>
      <c r="I16" s="10" t="s">
        <v>38</v>
      </c>
      <c r="J16" s="10" t="s">
        <v>39</v>
      </c>
      <c r="K16" s="10" t="s">
        <v>40</v>
      </c>
      <c r="L16" s="10" t="s">
        <v>41</v>
      </c>
      <c r="M16" s="10" t="s">
        <v>42</v>
      </c>
      <c r="N16" s="10" t="s">
        <v>43</v>
      </c>
    </row>
    <row r="17" spans="1:14" x14ac:dyDescent="0.25">
      <c r="A17" s="11" t="s">
        <v>44</v>
      </c>
      <c r="B17" s="12">
        <f>COUNTIFS(Partidas!$B$3:$B$202,A17,Partidas!$T$3:$T$202,"SIM")</f>
        <v>0</v>
      </c>
      <c r="C17" s="12">
        <f>amostra_T2</f>
        <v>3</v>
      </c>
      <c r="D17" s="12" t="str">
        <f>IF(B17&gt;=C17,"SIM","NÃO")</f>
        <v>NÃO</v>
      </c>
      <c r="E17" s="13" t="str">
        <f t="array" ref="E17">IFERROR(MEDIAN(IF((Partidas!$B$3:$B$202=$A17)*(Partidas!$T$3:$T$202="SIM")*(Partidas!$G$3:$H$202&lt;&gt;""),Partidas!$G$3:$H$202)),"—")</f>
        <v>—</v>
      </c>
      <c r="F17" s="12" t="str">
        <f>IF(OR(D17&lt;&gt;"SIM",E17="—"),"—",IF(E17&lt;=meta_ping,"OK","FALHA"))</f>
        <v>—</v>
      </c>
      <c r="G17" s="13" t="str">
        <f t="array" ref="G17">IFERROR(MEDIAN(IF((Partidas!$B$3:$B$202=$A17)*(Partidas!$T$3:$T$202="SIM")*(Partidas!$I$3:$I$202&lt;&gt;""),Partidas!$I$3:$I$202)),"—")</f>
        <v>—</v>
      </c>
      <c r="H17" s="12" t="str">
        <f>IF(OR(D17&lt;&gt;"SIM",G17="—"),"—",IF(G17&lt;=meta_enc,"OK","FALHA"))</f>
        <v>—</v>
      </c>
      <c r="I17" s="13" t="str">
        <f t="array" ref="I17">IFERROR(MEDIAN(IF((Partidas!$B$3:$B$202=$A17)*(Partidas!$T$3:$T$202="SIM")*(Partidas!$R$3:$S$202&lt;&gt;""),Partidas!$R$3:$S$202)),"—")</f>
        <v>—</v>
      </c>
      <c r="J17" s="12" t="str">
        <f>IF(OR(D17&lt;&gt;"SIM",I17="—"),"—",IF(I17&gt;=meta_nota,"OK","FALHA"))</f>
        <v>—</v>
      </c>
      <c r="K17" s="12" t="str">
        <f t="array" ref="K17">IF(COUNTIF(Sessoes!$D$3:$D$52,A17)=0,"—",MAX(IF(Sessoes!$D$3:$D$52=A17,Sessoes!$O$3:$O$52)))</f>
        <v>—</v>
      </c>
      <c r="L17" s="12" t="str">
        <f>IF(OR(D17&lt;&gt;"SIM",K17="—"),"—",IF(K17&lt;=meta_quedas,"OK","FALHA"))</f>
        <v>—</v>
      </c>
      <c r="M17" s="13" t="str">
        <f t="array" ref="M17">IFERROR(MEDIAN(IF((Partidas!$B$3:$B$202=$A17)*(Partidas!$T$3:$T$202="SIM")*(Partidas!$J$3:$K$202&lt;&gt;""),Partidas!$J$3:$K$202)),"—")</f>
        <v>—</v>
      </c>
      <c r="N17" s="13" t="str">
        <f t="array" ref="N17">IFERROR(MEDIAN(IF((Partidas!$B$3:$B$202=$A17)*(Partidas!$T$3:$T$202="SIM")*(Partidas!$P$3:$P$202&lt;&gt;""),Partidas!$P$3:$P$202)),"—")</f>
        <v>—</v>
      </c>
    </row>
    <row r="18" spans="1:14" x14ac:dyDescent="0.25">
      <c r="A18" s="11" t="s">
        <v>45</v>
      </c>
      <c r="B18" s="12">
        <f>COUNTIFS(Partidas!$B$3:$B$202,A18,Partidas!$T$3:$T$202,"SIM")</f>
        <v>0</v>
      </c>
      <c r="C18" s="12">
        <f>amostra_T3</f>
        <v>6</v>
      </c>
      <c r="D18" s="12" t="str">
        <f>IF(B18&gt;=C18,"SIM","NÃO")</f>
        <v>NÃO</v>
      </c>
      <c r="E18" s="13" t="str">
        <f t="array" ref="E18">IFERROR(MEDIAN(IF((Partidas!$B$3:$B$202=$A18)*(Partidas!$T$3:$T$202="SIM")*(Partidas!$G$3:$H$202&lt;&gt;""),Partidas!$G$3:$H$202)),"—")</f>
        <v>—</v>
      </c>
      <c r="F18" s="12" t="str">
        <f>IF(OR(D18&lt;&gt;"SIM",E18="—"),"—",IF(E18&lt;=meta_ping,"OK","FALHA"))</f>
        <v>—</v>
      </c>
      <c r="G18" s="13" t="str">
        <f t="array" ref="G18">IFERROR(MEDIAN(IF((Partidas!$B$3:$B$202=$A18)*(Partidas!$T$3:$T$202="SIM")*(Partidas!$I$3:$I$202&lt;&gt;""),Partidas!$I$3:$I$202)),"—")</f>
        <v>—</v>
      </c>
      <c r="H18" s="12" t="str">
        <f>IF(OR(D18&lt;&gt;"SIM",G18="—"),"—",IF(G18&lt;=meta_enc,"OK","FALHA"))</f>
        <v>—</v>
      </c>
      <c r="I18" s="13" t="str">
        <f t="array" ref="I18">IFERROR(MEDIAN(IF((Partidas!$B$3:$B$202=$A18)*(Partidas!$T$3:$T$202="SIM")*(Partidas!$R$3:$S$202&lt;&gt;""),Partidas!$R$3:$S$202)),"—")</f>
        <v>—</v>
      </c>
      <c r="J18" s="12" t="str">
        <f>IF(OR(D18&lt;&gt;"SIM",I18="—"),"—",IF(I18&gt;=meta_nota,"OK","FALHA"))</f>
        <v>—</v>
      </c>
      <c r="K18" s="12" t="str">
        <f t="array" ref="K18">IF(COUNTIF(Sessoes!$D$3:$D$52,A18)=0,"—",MAX(IF(Sessoes!$D$3:$D$52=A18,Sessoes!$O$3:$O$52)))</f>
        <v>—</v>
      </c>
      <c r="L18" s="12" t="str">
        <f>IF(OR(D18&lt;&gt;"SIM",K18="—"),"—",IF(K18&lt;=meta_quedas,"OK","FALHA"))</f>
        <v>—</v>
      </c>
      <c r="M18" s="13" t="str">
        <f t="array" ref="M18">IFERROR(MEDIAN(IF((Partidas!$B$3:$B$202=$A18)*(Partidas!$T$3:$T$202="SIM")*(Partidas!$J$3:$K$202&lt;&gt;""),Partidas!$J$3:$K$202)),"—")</f>
        <v>—</v>
      </c>
      <c r="N18" s="13" t="str">
        <f t="array" ref="N18">IFERROR(MEDIAN(IF((Partidas!$B$3:$B$202=$A18)*(Partidas!$T$3:$T$202="SIM")*(Partidas!$P$3:$P$202&lt;&gt;""),Partidas!$P$3:$P$202)),"—")</f>
        <v>—</v>
      </c>
    </row>
    <row r="19" spans="1:14" x14ac:dyDescent="0.25">
      <c r="A19" s="11" t="s">
        <v>46</v>
      </c>
      <c r="B19" s="12">
        <f>COUNTIFS(Partidas!$B$3:$B$202,A19,Partidas!$T$3:$T$202,"SIM")</f>
        <v>0</v>
      </c>
      <c r="C19" s="12">
        <f>amostra_T4</f>
        <v>7</v>
      </c>
      <c r="D19" s="12" t="str">
        <f>IF(B19&gt;=C19,"SIM","NÃO")</f>
        <v>NÃO</v>
      </c>
      <c r="E19" s="13" t="str">
        <f t="array" ref="E19">IFERROR(MEDIAN(IF((Partidas!$B$3:$B$202=$A19)*(Partidas!$T$3:$T$202="SIM")*(Partidas!$G$3:$H$202&lt;&gt;""),Partidas!$G$3:$H$202)),"—")</f>
        <v>—</v>
      </c>
      <c r="F19" s="12" t="str">
        <f>IF(OR(D19&lt;&gt;"SIM",E19="—"),"—",IF(E19&lt;=meta_ping,"OK","FALHA"))</f>
        <v>—</v>
      </c>
      <c r="G19" s="13" t="str">
        <f t="array" ref="G19">IFERROR(MEDIAN(IF((Partidas!$B$3:$B$202=$A19)*(Partidas!$T$3:$T$202="SIM")*(Partidas!$I$3:$I$202&lt;&gt;""),Partidas!$I$3:$I$202)),"—")</f>
        <v>—</v>
      </c>
      <c r="H19" s="12" t="str">
        <f>IF(OR(D19&lt;&gt;"SIM",G19="—"),"—",IF(G19&lt;=meta_enc,"OK","FALHA"))</f>
        <v>—</v>
      </c>
      <c r="I19" s="13" t="str">
        <f t="array" ref="I19">IFERROR(MEDIAN(IF((Partidas!$B$3:$B$202=$A19)*(Partidas!$T$3:$T$202="SIM")*(Partidas!$R$3:$S$202&lt;&gt;""),Partidas!$R$3:$S$202)),"—")</f>
        <v>—</v>
      </c>
      <c r="J19" s="12" t="str">
        <f>IF(OR(D19&lt;&gt;"SIM",I19="—"),"—",IF(I19&gt;=meta_nota,"OK","FALHA"))</f>
        <v>—</v>
      </c>
      <c r="K19" s="12" t="str">
        <f t="array" ref="K19">IF(COUNTIF(Sessoes!$D$3:$D$52,A19)=0,"—",MAX(IF(Sessoes!$D$3:$D$52=A19,Sessoes!$O$3:$O$52)))</f>
        <v>—</v>
      </c>
      <c r="L19" s="12" t="str">
        <f>IF(OR(D19&lt;&gt;"SIM",K19="—"),"—",IF(K19&lt;=meta_quedas,"OK","FALHA"))</f>
        <v>—</v>
      </c>
      <c r="M19" s="13" t="str">
        <f t="array" ref="M19">IFERROR(MEDIAN(IF((Partidas!$B$3:$B$202=$A19)*(Partidas!$T$3:$T$202="SIM")*(Partidas!$J$3:$K$202&lt;&gt;""),Partidas!$J$3:$K$202)),"—")</f>
        <v>—</v>
      </c>
      <c r="N19" s="13" t="str">
        <f t="array" ref="N19">IFERROR(MEDIAN(IF((Partidas!$B$3:$B$202=$A19)*(Partidas!$T$3:$T$202="SIM")*(Partidas!$P$3:$P$202&lt;&gt;""),Partidas!$P$3:$P$202)),"—")</f>
        <v>—</v>
      </c>
    </row>
    <row r="21" spans="1:14" x14ac:dyDescent="0.25">
      <c r="A21" s="5" t="s">
        <v>47</v>
      </c>
    </row>
    <row r="22" spans="1:14" ht="27.95" customHeight="1" x14ac:dyDescent="0.25">
      <c r="A22" s="2" t="s">
        <v>48</v>
      </c>
      <c r="B22" s="7"/>
    </row>
    <row r="23" spans="1:14" ht="27.95" customHeight="1" x14ac:dyDescent="0.25">
      <c r="A23" s="2" t="s">
        <v>49</v>
      </c>
      <c r="B23" s="7"/>
    </row>
    <row r="25" spans="1:14" x14ac:dyDescent="0.25">
      <c r="A25" s="6" t="s">
        <v>50</v>
      </c>
      <c r="B25" s="14" t="str">
        <f>IFERROR(MEDIAN(Notas!$C$3:$C$202),"—")</f>
        <v>—</v>
      </c>
    </row>
    <row r="27" spans="1:14" ht="15.75" x14ac:dyDescent="0.25">
      <c r="A27" s="15" t="s">
        <v>51</v>
      </c>
      <c r="B27" s="20" t="str">
        <f>IF(OR(COUNTIF(F17:F19,"—")+COUNTIF(H17:H19,"—")+COUNTIF(J17:J19,"—")+COUNTIF(L17:L19,"—")&gt;0,copa_ok="",limitacao=""),"INCOMPLETO",IF(AND(COUNTIF(F17:L19,"FALHA")=0,copa_ok="S",limitacao="N"),"APROVADA","REPROVADA (ver ADR-003)"))</f>
        <v>INCOMPLETO</v>
      </c>
      <c r="C27" s="21"/>
      <c r="D27" s="22"/>
    </row>
    <row r="28" spans="1:14" x14ac:dyDescent="0.25">
      <c r="A28" s="8" t="s">
        <v>52</v>
      </c>
    </row>
  </sheetData>
  <mergeCells count="1">
    <mergeCell ref="B27:D27"/>
  </mergeCells>
  <dataValidations count="1">
    <dataValidation type="list" allowBlank="1" errorTitle="Valor inválido" error="Escolha um valor da lista." sqref="B22:B23" xr:uid="{00000000-0002-0000-0100-000000000000}">
      <formula1>"S,N"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2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2" customWidth="1"/>
    <col min="3" max="4" width="10" customWidth="1"/>
    <col min="5" max="6" width="12" customWidth="1"/>
    <col min="7" max="7" width="9" customWidth="1"/>
    <col min="8" max="8" width="10" customWidth="1"/>
    <col min="9" max="9" width="9" customWidth="1"/>
    <col min="10" max="10" width="10" customWidth="1"/>
    <col min="11" max="12" width="12" customWidth="1"/>
    <col min="13" max="13" width="16" customWidth="1"/>
    <col min="14" max="14" width="34" customWidth="1"/>
    <col min="15" max="15" width="12" customWidth="1"/>
    <col min="16" max="16" width="40" customWidth="1"/>
  </cols>
  <sheetData>
    <row r="1" spans="1:16" ht="42" customHeight="1" x14ac:dyDescent="0.25">
      <c r="A1" s="10" t="s">
        <v>53</v>
      </c>
      <c r="B1" s="10" t="s">
        <v>54</v>
      </c>
      <c r="C1" s="10" t="s">
        <v>55</v>
      </c>
      <c r="D1" s="10" t="s">
        <v>30</v>
      </c>
      <c r="E1" s="10" t="s">
        <v>56</v>
      </c>
      <c r="F1" s="10" t="s">
        <v>57</v>
      </c>
      <c r="G1" s="10" t="s">
        <v>58</v>
      </c>
      <c r="H1" s="10" t="s">
        <v>59</v>
      </c>
      <c r="I1" s="10" t="s">
        <v>60</v>
      </c>
      <c r="J1" s="10" t="s">
        <v>61</v>
      </c>
      <c r="K1" s="10" t="s">
        <v>62</v>
      </c>
      <c r="L1" s="10" t="s">
        <v>63</v>
      </c>
      <c r="M1" s="10" t="s">
        <v>64</v>
      </c>
      <c r="N1" s="10" t="s">
        <v>65</v>
      </c>
      <c r="O1" s="10" t="s">
        <v>66</v>
      </c>
      <c r="P1" s="10" t="s">
        <v>67</v>
      </c>
    </row>
    <row r="2" spans="1:16" x14ac:dyDescent="0.25">
      <c r="A2" s="16" t="s">
        <v>68</v>
      </c>
      <c r="B2" s="16" t="s">
        <v>69</v>
      </c>
      <c r="C2" s="16" t="s">
        <v>70</v>
      </c>
      <c r="D2" s="16" t="s">
        <v>44</v>
      </c>
      <c r="E2" s="16" t="s">
        <v>71</v>
      </c>
      <c r="F2" s="16" t="s">
        <v>72</v>
      </c>
      <c r="G2" s="16">
        <v>60</v>
      </c>
      <c r="H2" s="16">
        <v>20</v>
      </c>
      <c r="I2" s="16" t="s">
        <v>73</v>
      </c>
      <c r="J2" s="16">
        <v>10</v>
      </c>
      <c r="K2" s="16" t="s">
        <v>74</v>
      </c>
      <c r="L2" s="16">
        <v>300</v>
      </c>
      <c r="M2" s="16" t="s">
        <v>75</v>
      </c>
      <c r="N2" s="16" t="s">
        <v>76</v>
      </c>
      <c r="O2" s="17">
        <f>IF(A2="","",SUMIFS(Partidas!$Q$3:$Q$202,Partidas!$A$3:$A$202,A2,Partidas!$B$3:$B$202,"&lt;&gt;T5"))</f>
        <v>0</v>
      </c>
      <c r="P2" s="16" t="s">
        <v>77</v>
      </c>
    </row>
    <row r="3" spans="1:1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9" t="str">
        <f>IF(A3="","",SUMIFS(Partidas!$Q$3:$Q$202,Partidas!$A$3:$A$202,A3,Partidas!$B$3:$B$202,"&lt;&gt;T5"))</f>
        <v/>
      </c>
      <c r="P3" s="7"/>
    </row>
    <row r="4" spans="1:1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9" t="str">
        <f>IF(A4="","",SUMIFS(Partidas!$Q$3:$Q$202,Partidas!$A$3:$A$202,A4,Partidas!$B$3:$B$202,"&lt;&gt;T5"))</f>
        <v/>
      </c>
      <c r="P4" s="7"/>
    </row>
    <row r="5" spans="1:16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9" t="str">
        <f>IF(A5="","",SUMIFS(Partidas!$Q$3:$Q$202,Partidas!$A$3:$A$202,A5,Partidas!$B$3:$B$202,"&lt;&gt;T5"))</f>
        <v/>
      </c>
      <c r="P5" s="7"/>
    </row>
    <row r="6" spans="1:1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9" t="str">
        <f>IF(A6="","",SUMIFS(Partidas!$Q$3:$Q$202,Partidas!$A$3:$A$202,A6,Partidas!$B$3:$B$202,"&lt;&gt;T5"))</f>
        <v/>
      </c>
      <c r="P6" s="7"/>
    </row>
    <row r="7" spans="1:16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9" t="str">
        <f>IF(A7="","",SUMIFS(Partidas!$Q$3:$Q$202,Partidas!$A$3:$A$202,A7,Partidas!$B$3:$B$202,"&lt;&gt;T5"))</f>
        <v/>
      </c>
      <c r="P7" s="7"/>
    </row>
    <row r="8" spans="1:1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9" t="str">
        <f>IF(A8="","",SUMIFS(Partidas!$Q$3:$Q$202,Partidas!$A$3:$A$202,A8,Partidas!$B$3:$B$202,"&lt;&gt;T5"))</f>
        <v/>
      </c>
      <c r="P8" s="7"/>
    </row>
    <row r="9" spans="1:1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9" t="str">
        <f>IF(A9="","",SUMIFS(Partidas!$Q$3:$Q$202,Partidas!$A$3:$A$202,A9,Partidas!$B$3:$B$202,"&lt;&gt;T5"))</f>
        <v/>
      </c>
      <c r="P9" s="7"/>
    </row>
    <row r="10" spans="1:1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9" t="str">
        <f>IF(A10="","",SUMIFS(Partidas!$Q$3:$Q$202,Partidas!$A$3:$A$202,A10,Partidas!$B$3:$B$202,"&lt;&gt;T5"))</f>
        <v/>
      </c>
      <c r="P10" s="7"/>
    </row>
    <row r="11" spans="1:1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9" t="str">
        <f>IF(A11="","",SUMIFS(Partidas!$Q$3:$Q$202,Partidas!$A$3:$A$202,A11,Partidas!$B$3:$B$202,"&lt;&gt;T5"))</f>
        <v/>
      </c>
      <c r="P11" s="7"/>
    </row>
    <row r="12" spans="1:1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9" t="str">
        <f>IF(A12="","",SUMIFS(Partidas!$Q$3:$Q$202,Partidas!$A$3:$A$202,A12,Partidas!$B$3:$B$202,"&lt;&gt;T5"))</f>
        <v/>
      </c>
      <c r="P12" s="7"/>
    </row>
    <row r="13" spans="1:1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9" t="str">
        <f>IF(A13="","",SUMIFS(Partidas!$Q$3:$Q$202,Partidas!$A$3:$A$202,A13,Partidas!$B$3:$B$202,"&lt;&gt;T5"))</f>
        <v/>
      </c>
      <c r="P13" s="7"/>
    </row>
    <row r="14" spans="1:1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9" t="str">
        <f>IF(A14="","",SUMIFS(Partidas!$Q$3:$Q$202,Partidas!$A$3:$A$202,A14,Partidas!$B$3:$B$202,"&lt;&gt;T5"))</f>
        <v/>
      </c>
      <c r="P14" s="7"/>
    </row>
    <row r="15" spans="1:1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9" t="str">
        <f>IF(A15="","",SUMIFS(Partidas!$Q$3:$Q$202,Partidas!$A$3:$A$202,A15,Partidas!$B$3:$B$202,"&lt;&gt;T5"))</f>
        <v/>
      </c>
      <c r="P15" s="7"/>
    </row>
    <row r="16" spans="1:1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9" t="str">
        <f>IF(A16="","",SUMIFS(Partidas!$Q$3:$Q$202,Partidas!$A$3:$A$202,A16,Partidas!$B$3:$B$202,"&lt;&gt;T5"))</f>
        <v/>
      </c>
      <c r="P16" s="7"/>
    </row>
    <row r="17" spans="1:1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9" t="str">
        <f>IF(A17="","",SUMIFS(Partidas!$Q$3:$Q$202,Partidas!$A$3:$A$202,A17,Partidas!$B$3:$B$202,"&lt;&gt;T5"))</f>
        <v/>
      </c>
      <c r="P17" s="7"/>
    </row>
    <row r="18" spans="1:1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9" t="str">
        <f>IF(A18="","",SUMIFS(Partidas!$Q$3:$Q$202,Partidas!$A$3:$A$202,A18,Partidas!$B$3:$B$202,"&lt;&gt;T5"))</f>
        <v/>
      </c>
      <c r="P18" s="7"/>
    </row>
    <row r="19" spans="1:1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9" t="str">
        <f>IF(A19="","",SUMIFS(Partidas!$Q$3:$Q$202,Partidas!$A$3:$A$202,A19,Partidas!$B$3:$B$202,"&lt;&gt;T5"))</f>
        <v/>
      </c>
      <c r="P19" s="7"/>
    </row>
    <row r="20" spans="1:1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9" t="str">
        <f>IF(A20="","",SUMIFS(Partidas!$Q$3:$Q$202,Partidas!$A$3:$A$202,A20,Partidas!$B$3:$B$202,"&lt;&gt;T5"))</f>
        <v/>
      </c>
      <c r="P20" s="7"/>
    </row>
    <row r="21" spans="1:1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9" t="str">
        <f>IF(A21="","",SUMIFS(Partidas!$Q$3:$Q$202,Partidas!$A$3:$A$202,A21,Partidas!$B$3:$B$202,"&lt;&gt;T5"))</f>
        <v/>
      </c>
      <c r="P21" s="7"/>
    </row>
    <row r="22" spans="1:16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9" t="str">
        <f>IF(A22="","",SUMIFS(Partidas!$Q$3:$Q$202,Partidas!$A$3:$A$202,A22,Partidas!$B$3:$B$202,"&lt;&gt;T5"))</f>
        <v/>
      </c>
      <c r="P22" s="7"/>
    </row>
    <row r="23" spans="1:1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9" t="str">
        <f>IF(A23="","",SUMIFS(Partidas!$Q$3:$Q$202,Partidas!$A$3:$A$202,A23,Partidas!$B$3:$B$202,"&lt;&gt;T5"))</f>
        <v/>
      </c>
      <c r="P23" s="7"/>
    </row>
    <row r="24" spans="1:1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9" t="str">
        <f>IF(A24="","",SUMIFS(Partidas!$Q$3:$Q$202,Partidas!$A$3:$A$202,A24,Partidas!$B$3:$B$202,"&lt;&gt;T5"))</f>
        <v/>
      </c>
      <c r="P24" s="7"/>
    </row>
    <row r="25" spans="1:1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" t="str">
        <f>IF(A25="","",SUMIFS(Partidas!$Q$3:$Q$202,Partidas!$A$3:$A$202,A25,Partidas!$B$3:$B$202,"&lt;&gt;T5"))</f>
        <v/>
      </c>
      <c r="P25" s="7"/>
    </row>
    <row r="26" spans="1:1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9" t="str">
        <f>IF(A26="","",SUMIFS(Partidas!$Q$3:$Q$202,Partidas!$A$3:$A$202,A26,Partidas!$B$3:$B$202,"&lt;&gt;T5"))</f>
        <v/>
      </c>
      <c r="P26" s="7"/>
    </row>
    <row r="27" spans="1:1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9" t="str">
        <f>IF(A27="","",SUMIFS(Partidas!$Q$3:$Q$202,Partidas!$A$3:$A$202,A27,Partidas!$B$3:$B$202,"&lt;&gt;T5"))</f>
        <v/>
      </c>
      <c r="P27" s="7"/>
    </row>
    <row r="28" spans="1:1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9" t="str">
        <f>IF(A28="","",SUMIFS(Partidas!$Q$3:$Q$202,Partidas!$A$3:$A$202,A28,Partidas!$B$3:$B$202,"&lt;&gt;T5"))</f>
        <v/>
      </c>
      <c r="P28" s="7"/>
    </row>
    <row r="29" spans="1:16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9" t="str">
        <f>IF(A29="","",SUMIFS(Partidas!$Q$3:$Q$202,Partidas!$A$3:$A$202,A29,Partidas!$B$3:$B$202,"&lt;&gt;T5"))</f>
        <v/>
      </c>
      <c r="P29" s="7"/>
    </row>
    <row r="30" spans="1:16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9" t="str">
        <f>IF(A30="","",SUMIFS(Partidas!$Q$3:$Q$202,Partidas!$A$3:$A$202,A30,Partidas!$B$3:$B$202,"&lt;&gt;T5"))</f>
        <v/>
      </c>
      <c r="P30" s="7"/>
    </row>
    <row r="31" spans="1:16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9" t="str">
        <f>IF(A31="","",SUMIFS(Partidas!$Q$3:$Q$202,Partidas!$A$3:$A$202,A31,Partidas!$B$3:$B$202,"&lt;&gt;T5"))</f>
        <v/>
      </c>
      <c r="P31" s="7"/>
    </row>
    <row r="32" spans="1:16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9" t="str">
        <f>IF(A32="","",SUMIFS(Partidas!$Q$3:$Q$202,Partidas!$A$3:$A$202,A32,Partidas!$B$3:$B$202,"&lt;&gt;T5"))</f>
        <v/>
      </c>
      <c r="P32" s="7"/>
    </row>
    <row r="33" spans="1:16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9" t="str">
        <f>IF(A33="","",SUMIFS(Partidas!$Q$3:$Q$202,Partidas!$A$3:$A$202,A33,Partidas!$B$3:$B$202,"&lt;&gt;T5"))</f>
        <v/>
      </c>
      <c r="P33" s="7"/>
    </row>
    <row r="34" spans="1:16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9" t="str">
        <f>IF(A34="","",SUMIFS(Partidas!$Q$3:$Q$202,Partidas!$A$3:$A$202,A34,Partidas!$B$3:$B$202,"&lt;&gt;T5"))</f>
        <v/>
      </c>
      <c r="P34" s="7"/>
    </row>
    <row r="35" spans="1:16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9" t="str">
        <f>IF(A35="","",SUMIFS(Partidas!$Q$3:$Q$202,Partidas!$A$3:$A$202,A35,Partidas!$B$3:$B$202,"&lt;&gt;T5"))</f>
        <v/>
      </c>
      <c r="P35" s="7"/>
    </row>
    <row r="36" spans="1:16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9" t="str">
        <f>IF(A36="","",SUMIFS(Partidas!$Q$3:$Q$202,Partidas!$A$3:$A$202,A36,Partidas!$B$3:$B$202,"&lt;&gt;T5"))</f>
        <v/>
      </c>
      <c r="P36" s="7"/>
    </row>
    <row r="37" spans="1:16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9" t="str">
        <f>IF(A37="","",SUMIFS(Partidas!$Q$3:$Q$202,Partidas!$A$3:$A$202,A37,Partidas!$B$3:$B$202,"&lt;&gt;T5"))</f>
        <v/>
      </c>
      <c r="P37" s="7"/>
    </row>
    <row r="38" spans="1:16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9" t="str">
        <f>IF(A38="","",SUMIFS(Partidas!$Q$3:$Q$202,Partidas!$A$3:$A$202,A38,Partidas!$B$3:$B$202,"&lt;&gt;T5"))</f>
        <v/>
      </c>
      <c r="P38" s="7"/>
    </row>
    <row r="39" spans="1:16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9" t="str">
        <f>IF(A39="","",SUMIFS(Partidas!$Q$3:$Q$202,Partidas!$A$3:$A$202,A39,Partidas!$B$3:$B$202,"&lt;&gt;T5"))</f>
        <v/>
      </c>
      <c r="P39" s="7"/>
    </row>
    <row r="40" spans="1:16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9" t="str">
        <f>IF(A40="","",SUMIFS(Partidas!$Q$3:$Q$202,Partidas!$A$3:$A$202,A40,Partidas!$B$3:$B$202,"&lt;&gt;T5"))</f>
        <v/>
      </c>
      <c r="P40" s="7"/>
    </row>
    <row r="41" spans="1:16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9" t="str">
        <f>IF(A41="","",SUMIFS(Partidas!$Q$3:$Q$202,Partidas!$A$3:$A$202,A41,Partidas!$B$3:$B$202,"&lt;&gt;T5"))</f>
        <v/>
      </c>
      <c r="P41" s="7"/>
    </row>
    <row r="42" spans="1:16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9" t="str">
        <f>IF(A42="","",SUMIFS(Partidas!$Q$3:$Q$202,Partidas!$A$3:$A$202,A42,Partidas!$B$3:$B$202,"&lt;&gt;T5"))</f>
        <v/>
      </c>
      <c r="P42" s="7"/>
    </row>
    <row r="43" spans="1:16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9" t="str">
        <f>IF(A43="","",SUMIFS(Partidas!$Q$3:$Q$202,Partidas!$A$3:$A$202,A43,Partidas!$B$3:$B$202,"&lt;&gt;T5"))</f>
        <v/>
      </c>
      <c r="P43" s="7"/>
    </row>
    <row r="44" spans="1:16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9" t="str">
        <f>IF(A44="","",SUMIFS(Partidas!$Q$3:$Q$202,Partidas!$A$3:$A$202,A44,Partidas!$B$3:$B$202,"&lt;&gt;T5"))</f>
        <v/>
      </c>
      <c r="P44" s="7"/>
    </row>
    <row r="45" spans="1:16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9" t="str">
        <f>IF(A45="","",SUMIFS(Partidas!$Q$3:$Q$202,Partidas!$A$3:$A$202,A45,Partidas!$B$3:$B$202,"&lt;&gt;T5"))</f>
        <v/>
      </c>
      <c r="P45" s="7"/>
    </row>
    <row r="46" spans="1:16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9" t="str">
        <f>IF(A46="","",SUMIFS(Partidas!$Q$3:$Q$202,Partidas!$A$3:$A$202,A46,Partidas!$B$3:$B$202,"&lt;&gt;T5"))</f>
        <v/>
      </c>
      <c r="P46" s="7"/>
    </row>
    <row r="47" spans="1:16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9" t="str">
        <f>IF(A47="","",SUMIFS(Partidas!$Q$3:$Q$202,Partidas!$A$3:$A$202,A47,Partidas!$B$3:$B$202,"&lt;&gt;T5"))</f>
        <v/>
      </c>
      <c r="P47" s="7"/>
    </row>
    <row r="48" spans="1:16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9" t="str">
        <f>IF(A48="","",SUMIFS(Partidas!$Q$3:$Q$202,Partidas!$A$3:$A$202,A48,Partidas!$B$3:$B$202,"&lt;&gt;T5"))</f>
        <v/>
      </c>
      <c r="P48" s="7"/>
    </row>
    <row r="49" spans="1:16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9" t="str">
        <f>IF(A49="","",SUMIFS(Partidas!$Q$3:$Q$202,Partidas!$A$3:$A$202,A49,Partidas!$B$3:$B$202,"&lt;&gt;T5"))</f>
        <v/>
      </c>
      <c r="P49" s="7"/>
    </row>
    <row r="50" spans="1:16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9" t="str">
        <f>IF(A50="","",SUMIFS(Partidas!$Q$3:$Q$202,Partidas!$A$3:$A$202,A50,Partidas!$B$3:$B$202,"&lt;&gt;T5"))</f>
        <v/>
      </c>
      <c r="P50" s="7"/>
    </row>
    <row r="51" spans="1:1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9" t="str">
        <f>IF(A51="","",SUMIFS(Partidas!$Q$3:$Q$202,Partidas!$A$3:$A$202,A51,Partidas!$B$3:$B$202,"&lt;&gt;T5"))</f>
        <v/>
      </c>
      <c r="P51" s="7"/>
    </row>
    <row r="52" spans="1:16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9" t="str">
        <f>IF(A52="","",SUMIFS(Partidas!$Q$3:$Q$202,Partidas!$A$3:$A$202,A52,Partidas!$B$3:$B$202,"&lt;&gt;T5"))</f>
        <v/>
      </c>
      <c r="P52" s="7"/>
    </row>
  </sheetData>
  <dataValidations count="2">
    <dataValidation type="list" allowBlank="1" errorTitle="Valor inválido" error="Escolha um valor da lista." sqref="D3:D52" xr:uid="{00000000-0002-0000-0200-000000000000}">
      <formula1>"T1,T2,T3,T4"</formula1>
    </dataValidation>
    <dataValidation type="list" allowBlank="1" errorTitle="Valor inválido" error="Escolha um valor da lista." sqref="I3:I52" xr:uid="{00000000-0002-0000-0200-000001000000}">
      <formula1>"H.264,H.265"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2"/>
  <sheetViews>
    <sheetView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" customWidth="1"/>
    <col min="2" max="2" width="9" customWidth="1"/>
    <col min="3" max="3" width="8" customWidth="1"/>
    <col min="4" max="5" width="9" customWidth="1"/>
    <col min="6" max="6" width="10" customWidth="1"/>
    <col min="7" max="8" width="8" customWidth="1"/>
    <col min="9" max="11" width="9" customWidth="1"/>
    <col min="12" max="12" width="10" customWidth="1"/>
    <col min="13" max="14" width="8" customWidth="1"/>
    <col min="15" max="16" width="10" customWidth="1"/>
    <col min="17" max="17" width="7" customWidth="1"/>
    <col min="18" max="21" width="10" customWidth="1"/>
    <col min="22" max="22" width="40" customWidth="1"/>
  </cols>
  <sheetData>
    <row r="1" spans="1:22" ht="42" customHeight="1" x14ac:dyDescent="0.25">
      <c r="A1" s="10" t="s">
        <v>78</v>
      </c>
      <c r="B1" s="10" t="s">
        <v>30</v>
      </c>
      <c r="C1" s="10" t="s">
        <v>79</v>
      </c>
      <c r="D1" s="10" t="s">
        <v>80</v>
      </c>
      <c r="E1" s="10" t="s">
        <v>81</v>
      </c>
      <c r="F1" s="10" t="s">
        <v>82</v>
      </c>
      <c r="G1" s="10" t="s">
        <v>83</v>
      </c>
      <c r="H1" s="10" t="s">
        <v>84</v>
      </c>
      <c r="I1" s="10" t="s">
        <v>85</v>
      </c>
      <c r="J1" s="10" t="s">
        <v>86</v>
      </c>
      <c r="K1" s="10" t="s">
        <v>87</v>
      </c>
      <c r="L1" s="10" t="s">
        <v>88</v>
      </c>
      <c r="M1" s="10" t="s">
        <v>89</v>
      </c>
      <c r="N1" s="10" t="s">
        <v>90</v>
      </c>
      <c r="O1" s="10" t="s">
        <v>91</v>
      </c>
      <c r="P1" s="10" t="s">
        <v>92</v>
      </c>
      <c r="Q1" s="10" t="s">
        <v>93</v>
      </c>
      <c r="R1" s="10" t="s">
        <v>94</v>
      </c>
      <c r="S1" s="10" t="s">
        <v>95</v>
      </c>
      <c r="T1" s="10" t="s">
        <v>96</v>
      </c>
      <c r="U1" s="10" t="s">
        <v>97</v>
      </c>
      <c r="V1" s="10" t="s">
        <v>98</v>
      </c>
    </row>
    <row r="2" spans="1:22" x14ac:dyDescent="0.25">
      <c r="A2" s="16" t="s">
        <v>68</v>
      </c>
      <c r="B2" s="16" t="s">
        <v>44</v>
      </c>
      <c r="C2" s="16">
        <v>1</v>
      </c>
      <c r="D2" s="16" t="s">
        <v>99</v>
      </c>
      <c r="E2" s="16" t="s">
        <v>100</v>
      </c>
      <c r="F2" s="16" t="s">
        <v>101</v>
      </c>
      <c r="G2" s="16"/>
      <c r="H2" s="16">
        <v>38</v>
      </c>
      <c r="I2" s="16">
        <v>6.5</v>
      </c>
      <c r="J2" s="16"/>
      <c r="K2" s="16">
        <v>4.2</v>
      </c>
      <c r="L2" s="16" t="s">
        <v>102</v>
      </c>
      <c r="M2" s="16">
        <v>60</v>
      </c>
      <c r="N2" s="16">
        <v>60</v>
      </c>
      <c r="O2" s="16">
        <v>9.8000000000000007</v>
      </c>
      <c r="P2" s="16">
        <v>45</v>
      </c>
      <c r="Q2" s="16">
        <v>0</v>
      </c>
      <c r="R2" s="16"/>
      <c r="S2" s="16">
        <v>4</v>
      </c>
      <c r="T2" s="17" t="str">
        <f t="shared" ref="T2:T65" si="0">IF(OR(A2="",A2="EXEMPLO"),"",IF(F2="N","SIM","NÃO"))</f>
        <v/>
      </c>
      <c r="U2" s="18" t="str">
        <f>IFERROR(O2/INDEX(Sessoes!$L$3:$L$52,MATCH(A2,Sessoes!$A$3:$A$52,0)),"")</f>
        <v/>
      </c>
      <c r="V2" s="16" t="s">
        <v>103</v>
      </c>
    </row>
    <row r="3" spans="1:22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9" t="str">
        <f t="shared" si="0"/>
        <v/>
      </c>
      <c r="U3" s="19" t="str">
        <f>IFERROR(O3/INDEX(Sessoes!$L$3:$L$52,MATCH(A3,Sessoes!$A$3:$A$52,0)),"")</f>
        <v/>
      </c>
      <c r="V3" s="7"/>
    </row>
    <row r="4" spans="1:22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9" t="str">
        <f t="shared" si="0"/>
        <v/>
      </c>
      <c r="U4" s="19" t="str">
        <f>IFERROR(O4/INDEX(Sessoes!$L$3:$L$52,MATCH(A4,Sessoes!$A$3:$A$52,0)),"")</f>
        <v/>
      </c>
      <c r="V4" s="7"/>
    </row>
    <row r="5" spans="1:22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9" t="str">
        <f t="shared" si="0"/>
        <v/>
      </c>
      <c r="U5" s="19" t="str">
        <f>IFERROR(O5/INDEX(Sessoes!$L$3:$L$52,MATCH(A5,Sessoes!$A$3:$A$52,0)),"")</f>
        <v/>
      </c>
      <c r="V5" s="7"/>
    </row>
    <row r="6" spans="1:22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9" t="str">
        <f t="shared" si="0"/>
        <v/>
      </c>
      <c r="U6" s="19" t="str">
        <f>IFERROR(O6/INDEX(Sessoes!$L$3:$L$52,MATCH(A6,Sessoes!$A$3:$A$52,0)),"")</f>
        <v/>
      </c>
      <c r="V6" s="7"/>
    </row>
    <row r="7" spans="1:22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9" t="str">
        <f t="shared" si="0"/>
        <v/>
      </c>
      <c r="U7" s="19" t="str">
        <f>IFERROR(O7/INDEX(Sessoes!$L$3:$L$52,MATCH(A7,Sessoes!$A$3:$A$52,0)),"")</f>
        <v/>
      </c>
      <c r="V7" s="7"/>
    </row>
    <row r="8" spans="1:22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9" t="str">
        <f t="shared" si="0"/>
        <v/>
      </c>
      <c r="U8" s="19" t="str">
        <f>IFERROR(O8/INDEX(Sessoes!$L$3:$L$52,MATCH(A8,Sessoes!$A$3:$A$52,0)),"")</f>
        <v/>
      </c>
      <c r="V8" s="7"/>
    </row>
    <row r="9" spans="1:2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9" t="str">
        <f t="shared" si="0"/>
        <v/>
      </c>
      <c r="U9" s="19" t="str">
        <f>IFERROR(O9/INDEX(Sessoes!$L$3:$L$52,MATCH(A9,Sessoes!$A$3:$A$52,0)),"")</f>
        <v/>
      </c>
      <c r="V9" s="7"/>
    </row>
    <row r="10" spans="1:2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9" t="str">
        <f t="shared" si="0"/>
        <v/>
      </c>
      <c r="U10" s="19" t="str">
        <f>IFERROR(O10/INDEX(Sessoes!$L$3:$L$52,MATCH(A10,Sessoes!$A$3:$A$52,0)),"")</f>
        <v/>
      </c>
      <c r="V10" s="7"/>
    </row>
    <row r="11" spans="1:2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9" t="str">
        <f t="shared" si="0"/>
        <v/>
      </c>
      <c r="U11" s="19" t="str">
        <f>IFERROR(O11/INDEX(Sessoes!$L$3:$L$52,MATCH(A11,Sessoes!$A$3:$A$52,0)),"")</f>
        <v/>
      </c>
      <c r="V11" s="7"/>
    </row>
    <row r="12" spans="1:2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9" t="str">
        <f t="shared" si="0"/>
        <v/>
      </c>
      <c r="U12" s="19" t="str">
        <f>IFERROR(O12/INDEX(Sessoes!$L$3:$L$52,MATCH(A12,Sessoes!$A$3:$A$52,0)),"")</f>
        <v/>
      </c>
      <c r="V12" s="7"/>
    </row>
    <row r="13" spans="1:2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9" t="str">
        <f t="shared" si="0"/>
        <v/>
      </c>
      <c r="U13" s="19" t="str">
        <f>IFERROR(O13/INDEX(Sessoes!$L$3:$L$52,MATCH(A13,Sessoes!$A$3:$A$52,0)),"")</f>
        <v/>
      </c>
      <c r="V13" s="7"/>
    </row>
    <row r="14" spans="1:2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9" t="str">
        <f t="shared" si="0"/>
        <v/>
      </c>
      <c r="U14" s="19" t="str">
        <f>IFERROR(O14/INDEX(Sessoes!$L$3:$L$52,MATCH(A14,Sessoes!$A$3:$A$52,0)),"")</f>
        <v/>
      </c>
      <c r="V14" s="7"/>
    </row>
    <row r="15" spans="1:22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9" t="str">
        <f t="shared" si="0"/>
        <v/>
      </c>
      <c r="U15" s="19" t="str">
        <f>IFERROR(O15/INDEX(Sessoes!$L$3:$L$52,MATCH(A15,Sessoes!$A$3:$A$52,0)),"")</f>
        <v/>
      </c>
      <c r="V15" s="7"/>
    </row>
    <row r="16" spans="1:22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9" t="str">
        <f t="shared" si="0"/>
        <v/>
      </c>
      <c r="U16" s="19" t="str">
        <f>IFERROR(O16/INDEX(Sessoes!$L$3:$L$52,MATCH(A16,Sessoes!$A$3:$A$52,0)),"")</f>
        <v/>
      </c>
      <c r="V16" s="7"/>
    </row>
    <row r="17" spans="1:22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9" t="str">
        <f t="shared" si="0"/>
        <v/>
      </c>
      <c r="U17" s="19" t="str">
        <f>IFERROR(O17/INDEX(Sessoes!$L$3:$L$52,MATCH(A17,Sessoes!$A$3:$A$52,0)),"")</f>
        <v/>
      </c>
      <c r="V17" s="7"/>
    </row>
    <row r="18" spans="1:22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9" t="str">
        <f t="shared" si="0"/>
        <v/>
      </c>
      <c r="U18" s="19" t="str">
        <f>IFERROR(O18/INDEX(Sessoes!$L$3:$L$52,MATCH(A18,Sessoes!$A$3:$A$52,0)),"")</f>
        <v/>
      </c>
      <c r="V18" s="7"/>
    </row>
    <row r="19" spans="1:2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9" t="str">
        <f t="shared" si="0"/>
        <v/>
      </c>
      <c r="U19" s="19" t="str">
        <f>IFERROR(O19/INDEX(Sessoes!$L$3:$L$52,MATCH(A19,Sessoes!$A$3:$A$52,0)),"")</f>
        <v/>
      </c>
      <c r="V19" s="7"/>
    </row>
    <row r="20" spans="1:22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9" t="str">
        <f t="shared" si="0"/>
        <v/>
      </c>
      <c r="U20" s="19" t="str">
        <f>IFERROR(O20/INDEX(Sessoes!$L$3:$L$52,MATCH(A20,Sessoes!$A$3:$A$52,0)),"")</f>
        <v/>
      </c>
      <c r="V20" s="7"/>
    </row>
    <row r="21" spans="1:2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9" t="str">
        <f t="shared" si="0"/>
        <v/>
      </c>
      <c r="U21" s="19" t="str">
        <f>IFERROR(O21/INDEX(Sessoes!$L$3:$L$52,MATCH(A21,Sessoes!$A$3:$A$52,0)),"")</f>
        <v/>
      </c>
      <c r="V21" s="7"/>
    </row>
    <row r="22" spans="1:2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9" t="str">
        <f t="shared" si="0"/>
        <v/>
      </c>
      <c r="U22" s="19" t="str">
        <f>IFERROR(O22/INDEX(Sessoes!$L$3:$L$52,MATCH(A22,Sessoes!$A$3:$A$52,0)),"")</f>
        <v/>
      </c>
      <c r="V22" s="7"/>
    </row>
    <row r="23" spans="1:22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9" t="str">
        <f t="shared" si="0"/>
        <v/>
      </c>
      <c r="U23" s="19" t="str">
        <f>IFERROR(O23/INDEX(Sessoes!$L$3:$L$52,MATCH(A23,Sessoes!$A$3:$A$52,0)),"")</f>
        <v/>
      </c>
      <c r="V23" s="7"/>
    </row>
    <row r="24" spans="1:22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9" t="str">
        <f t="shared" si="0"/>
        <v/>
      </c>
      <c r="U24" s="19" t="str">
        <f>IFERROR(O24/INDEX(Sessoes!$L$3:$L$52,MATCH(A24,Sessoes!$A$3:$A$52,0)),"")</f>
        <v/>
      </c>
      <c r="V24" s="7"/>
    </row>
    <row r="25" spans="1:22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9" t="str">
        <f t="shared" si="0"/>
        <v/>
      </c>
      <c r="U25" s="19" t="str">
        <f>IFERROR(O25/INDEX(Sessoes!$L$3:$L$52,MATCH(A25,Sessoes!$A$3:$A$52,0)),"")</f>
        <v/>
      </c>
      <c r="V25" s="7"/>
    </row>
    <row r="26" spans="1:22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9" t="str">
        <f t="shared" si="0"/>
        <v/>
      </c>
      <c r="U26" s="19" t="str">
        <f>IFERROR(O26/INDEX(Sessoes!$L$3:$L$52,MATCH(A26,Sessoes!$A$3:$A$52,0)),"")</f>
        <v/>
      </c>
      <c r="V26" s="7"/>
    </row>
    <row r="27" spans="1:22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9" t="str">
        <f t="shared" si="0"/>
        <v/>
      </c>
      <c r="U27" s="19" t="str">
        <f>IFERROR(O27/INDEX(Sessoes!$L$3:$L$52,MATCH(A27,Sessoes!$A$3:$A$52,0)),"")</f>
        <v/>
      </c>
      <c r="V27" s="7"/>
    </row>
    <row r="28" spans="1:22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9" t="str">
        <f t="shared" si="0"/>
        <v/>
      </c>
      <c r="U28" s="19" t="str">
        <f>IFERROR(O28/INDEX(Sessoes!$L$3:$L$52,MATCH(A28,Sessoes!$A$3:$A$52,0)),"")</f>
        <v/>
      </c>
      <c r="V28" s="7"/>
    </row>
    <row r="29" spans="1:22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9" t="str">
        <f t="shared" si="0"/>
        <v/>
      </c>
      <c r="U29" s="19" t="str">
        <f>IFERROR(O29/INDEX(Sessoes!$L$3:$L$52,MATCH(A29,Sessoes!$A$3:$A$52,0)),"")</f>
        <v/>
      </c>
      <c r="V29" s="7"/>
    </row>
    <row r="30" spans="1:22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9" t="str">
        <f t="shared" si="0"/>
        <v/>
      </c>
      <c r="U30" s="19" t="str">
        <f>IFERROR(O30/INDEX(Sessoes!$L$3:$L$52,MATCH(A30,Sessoes!$A$3:$A$52,0)),"")</f>
        <v/>
      </c>
      <c r="V30" s="7"/>
    </row>
    <row r="31" spans="1:22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9" t="str">
        <f t="shared" si="0"/>
        <v/>
      </c>
      <c r="U31" s="19" t="str">
        <f>IFERROR(O31/INDEX(Sessoes!$L$3:$L$52,MATCH(A31,Sessoes!$A$3:$A$52,0)),"")</f>
        <v/>
      </c>
      <c r="V31" s="7"/>
    </row>
    <row r="32" spans="1:2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9" t="str">
        <f t="shared" si="0"/>
        <v/>
      </c>
      <c r="U32" s="19" t="str">
        <f>IFERROR(O32/INDEX(Sessoes!$L$3:$L$52,MATCH(A32,Sessoes!$A$3:$A$52,0)),"")</f>
        <v/>
      </c>
      <c r="V32" s="7"/>
    </row>
    <row r="33" spans="1:22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9" t="str">
        <f t="shared" si="0"/>
        <v/>
      </c>
      <c r="U33" s="19" t="str">
        <f>IFERROR(O33/INDEX(Sessoes!$L$3:$L$52,MATCH(A33,Sessoes!$A$3:$A$52,0)),"")</f>
        <v/>
      </c>
      <c r="V33" s="7"/>
    </row>
    <row r="34" spans="1:2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9" t="str">
        <f t="shared" si="0"/>
        <v/>
      </c>
      <c r="U34" s="19" t="str">
        <f>IFERROR(O34/INDEX(Sessoes!$L$3:$L$52,MATCH(A34,Sessoes!$A$3:$A$52,0)),"")</f>
        <v/>
      </c>
      <c r="V34" s="7"/>
    </row>
    <row r="35" spans="1:22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9" t="str">
        <f t="shared" si="0"/>
        <v/>
      </c>
      <c r="U35" s="19" t="str">
        <f>IFERROR(O35/INDEX(Sessoes!$L$3:$L$52,MATCH(A35,Sessoes!$A$3:$A$52,0)),"")</f>
        <v/>
      </c>
      <c r="V35" s="7"/>
    </row>
    <row r="36" spans="1:22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9" t="str">
        <f t="shared" si="0"/>
        <v/>
      </c>
      <c r="U36" s="19" t="str">
        <f>IFERROR(O36/INDEX(Sessoes!$L$3:$L$52,MATCH(A36,Sessoes!$A$3:$A$52,0)),"")</f>
        <v/>
      </c>
      <c r="V36" s="7"/>
    </row>
    <row r="37" spans="1:22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9" t="str">
        <f t="shared" si="0"/>
        <v/>
      </c>
      <c r="U37" s="19" t="str">
        <f>IFERROR(O37/INDEX(Sessoes!$L$3:$L$52,MATCH(A37,Sessoes!$A$3:$A$52,0)),"")</f>
        <v/>
      </c>
      <c r="V37" s="7"/>
    </row>
    <row r="38" spans="1:22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9" t="str">
        <f t="shared" si="0"/>
        <v/>
      </c>
      <c r="U38" s="19" t="str">
        <f>IFERROR(O38/INDEX(Sessoes!$L$3:$L$52,MATCH(A38,Sessoes!$A$3:$A$52,0)),"")</f>
        <v/>
      </c>
      <c r="V38" s="7"/>
    </row>
    <row r="39" spans="1:22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9" t="str">
        <f t="shared" si="0"/>
        <v/>
      </c>
      <c r="U39" s="19" t="str">
        <f>IFERROR(O39/INDEX(Sessoes!$L$3:$L$52,MATCH(A39,Sessoes!$A$3:$A$52,0)),"")</f>
        <v/>
      </c>
      <c r="V39" s="7"/>
    </row>
    <row r="40" spans="1:22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9" t="str">
        <f t="shared" si="0"/>
        <v/>
      </c>
      <c r="U40" s="19" t="str">
        <f>IFERROR(O40/INDEX(Sessoes!$L$3:$L$52,MATCH(A40,Sessoes!$A$3:$A$52,0)),"")</f>
        <v/>
      </c>
      <c r="V40" s="7"/>
    </row>
    <row r="41" spans="1:22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9" t="str">
        <f t="shared" si="0"/>
        <v/>
      </c>
      <c r="U41" s="19" t="str">
        <f>IFERROR(O41/INDEX(Sessoes!$L$3:$L$52,MATCH(A41,Sessoes!$A$3:$A$52,0)),"")</f>
        <v/>
      </c>
      <c r="V41" s="7"/>
    </row>
    <row r="42" spans="1:22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9" t="str">
        <f t="shared" si="0"/>
        <v/>
      </c>
      <c r="U42" s="19" t="str">
        <f>IFERROR(O42/INDEX(Sessoes!$L$3:$L$52,MATCH(A42,Sessoes!$A$3:$A$52,0)),"")</f>
        <v/>
      </c>
      <c r="V42" s="7"/>
    </row>
    <row r="43" spans="1:22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9" t="str">
        <f t="shared" si="0"/>
        <v/>
      </c>
      <c r="U43" s="19" t="str">
        <f>IFERROR(O43/INDEX(Sessoes!$L$3:$L$52,MATCH(A43,Sessoes!$A$3:$A$52,0)),"")</f>
        <v/>
      </c>
      <c r="V43" s="7"/>
    </row>
    <row r="44" spans="1:22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9" t="str">
        <f t="shared" si="0"/>
        <v/>
      </c>
      <c r="U44" s="19" t="str">
        <f>IFERROR(O44/INDEX(Sessoes!$L$3:$L$52,MATCH(A44,Sessoes!$A$3:$A$52,0)),"")</f>
        <v/>
      </c>
      <c r="V44" s="7"/>
    </row>
    <row r="45" spans="1:22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9" t="str">
        <f t="shared" si="0"/>
        <v/>
      </c>
      <c r="U45" s="19" t="str">
        <f>IFERROR(O45/INDEX(Sessoes!$L$3:$L$52,MATCH(A45,Sessoes!$A$3:$A$52,0)),"")</f>
        <v/>
      </c>
      <c r="V45" s="7"/>
    </row>
    <row r="46" spans="1:22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9" t="str">
        <f t="shared" si="0"/>
        <v/>
      </c>
      <c r="U46" s="19" t="str">
        <f>IFERROR(O46/INDEX(Sessoes!$L$3:$L$52,MATCH(A46,Sessoes!$A$3:$A$52,0)),"")</f>
        <v/>
      </c>
      <c r="V46" s="7"/>
    </row>
    <row r="47" spans="1:22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9" t="str">
        <f t="shared" si="0"/>
        <v/>
      </c>
      <c r="U47" s="19" t="str">
        <f>IFERROR(O47/INDEX(Sessoes!$L$3:$L$52,MATCH(A47,Sessoes!$A$3:$A$52,0)),"")</f>
        <v/>
      </c>
      <c r="V47" s="7"/>
    </row>
    <row r="48" spans="1:22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9" t="str">
        <f t="shared" si="0"/>
        <v/>
      </c>
      <c r="U48" s="19" t="str">
        <f>IFERROR(O48/INDEX(Sessoes!$L$3:$L$52,MATCH(A48,Sessoes!$A$3:$A$52,0)),"")</f>
        <v/>
      </c>
      <c r="V48" s="7"/>
    </row>
    <row r="49" spans="1:22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9" t="str">
        <f t="shared" si="0"/>
        <v/>
      </c>
      <c r="U49" s="19" t="str">
        <f>IFERROR(O49/INDEX(Sessoes!$L$3:$L$52,MATCH(A49,Sessoes!$A$3:$A$52,0)),"")</f>
        <v/>
      </c>
      <c r="V49" s="7"/>
    </row>
    <row r="50" spans="1:22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9" t="str">
        <f t="shared" si="0"/>
        <v/>
      </c>
      <c r="U50" s="19" t="str">
        <f>IFERROR(O50/INDEX(Sessoes!$L$3:$L$52,MATCH(A50,Sessoes!$A$3:$A$52,0)),"")</f>
        <v/>
      </c>
      <c r="V50" s="7"/>
    </row>
    <row r="51" spans="1:22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9" t="str">
        <f t="shared" si="0"/>
        <v/>
      </c>
      <c r="U51" s="19" t="str">
        <f>IFERROR(O51/INDEX(Sessoes!$L$3:$L$52,MATCH(A51,Sessoes!$A$3:$A$52,0)),"")</f>
        <v/>
      </c>
      <c r="V51" s="7"/>
    </row>
    <row r="52" spans="1:22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9" t="str">
        <f t="shared" si="0"/>
        <v/>
      </c>
      <c r="U52" s="19" t="str">
        <f>IFERROR(O52/INDEX(Sessoes!$L$3:$L$52,MATCH(A52,Sessoes!$A$3:$A$52,0)),"")</f>
        <v/>
      </c>
      <c r="V52" s="7"/>
    </row>
    <row r="53" spans="1:2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9" t="str">
        <f t="shared" si="0"/>
        <v/>
      </c>
      <c r="U53" s="19" t="str">
        <f>IFERROR(O53/INDEX(Sessoes!$L$3:$L$52,MATCH(A53,Sessoes!$A$3:$A$52,0)),"")</f>
        <v/>
      </c>
      <c r="V53" s="7"/>
    </row>
    <row r="54" spans="1:22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9" t="str">
        <f t="shared" si="0"/>
        <v/>
      </c>
      <c r="U54" s="19" t="str">
        <f>IFERROR(O54/INDEX(Sessoes!$L$3:$L$52,MATCH(A54,Sessoes!$A$3:$A$52,0)),"")</f>
        <v/>
      </c>
      <c r="V54" s="7"/>
    </row>
    <row r="55" spans="1:2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9" t="str">
        <f t="shared" si="0"/>
        <v/>
      </c>
      <c r="U55" s="19" t="str">
        <f>IFERROR(O55/INDEX(Sessoes!$L$3:$L$52,MATCH(A55,Sessoes!$A$3:$A$52,0)),"")</f>
        <v/>
      </c>
      <c r="V55" s="7"/>
    </row>
    <row r="56" spans="1:2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9" t="str">
        <f t="shared" si="0"/>
        <v/>
      </c>
      <c r="U56" s="19" t="str">
        <f>IFERROR(O56/INDEX(Sessoes!$L$3:$L$52,MATCH(A56,Sessoes!$A$3:$A$52,0)),"")</f>
        <v/>
      </c>
      <c r="V56" s="7"/>
    </row>
    <row r="57" spans="1:2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9" t="str">
        <f t="shared" si="0"/>
        <v/>
      </c>
      <c r="U57" s="19" t="str">
        <f>IFERROR(O57/INDEX(Sessoes!$L$3:$L$52,MATCH(A57,Sessoes!$A$3:$A$52,0)),"")</f>
        <v/>
      </c>
      <c r="V57" s="7"/>
    </row>
    <row r="58" spans="1:2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9" t="str">
        <f t="shared" si="0"/>
        <v/>
      </c>
      <c r="U58" s="19" t="str">
        <f>IFERROR(O58/INDEX(Sessoes!$L$3:$L$52,MATCH(A58,Sessoes!$A$3:$A$52,0)),"")</f>
        <v/>
      </c>
      <c r="V58" s="7"/>
    </row>
    <row r="59" spans="1:2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9" t="str">
        <f t="shared" si="0"/>
        <v/>
      </c>
      <c r="U59" s="19" t="str">
        <f>IFERROR(O59/INDEX(Sessoes!$L$3:$L$52,MATCH(A59,Sessoes!$A$3:$A$52,0)),"")</f>
        <v/>
      </c>
      <c r="V59" s="7"/>
    </row>
    <row r="60" spans="1:2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9" t="str">
        <f t="shared" si="0"/>
        <v/>
      </c>
      <c r="U60" s="19" t="str">
        <f>IFERROR(O60/INDEX(Sessoes!$L$3:$L$52,MATCH(A60,Sessoes!$A$3:$A$52,0)),"")</f>
        <v/>
      </c>
      <c r="V60" s="7"/>
    </row>
    <row r="61" spans="1:2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9" t="str">
        <f t="shared" si="0"/>
        <v/>
      </c>
      <c r="U61" s="19" t="str">
        <f>IFERROR(O61/INDEX(Sessoes!$L$3:$L$52,MATCH(A61,Sessoes!$A$3:$A$52,0)),"")</f>
        <v/>
      </c>
      <c r="V61" s="7"/>
    </row>
    <row r="62" spans="1:2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9" t="str">
        <f t="shared" si="0"/>
        <v/>
      </c>
      <c r="U62" s="19" t="str">
        <f>IFERROR(O62/INDEX(Sessoes!$L$3:$L$52,MATCH(A62,Sessoes!$A$3:$A$52,0)),"")</f>
        <v/>
      </c>
      <c r="V62" s="7"/>
    </row>
    <row r="63" spans="1:2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9" t="str">
        <f t="shared" si="0"/>
        <v/>
      </c>
      <c r="U63" s="19" t="str">
        <f>IFERROR(O63/INDEX(Sessoes!$L$3:$L$52,MATCH(A63,Sessoes!$A$3:$A$52,0)),"")</f>
        <v/>
      </c>
      <c r="V63" s="7"/>
    </row>
    <row r="64" spans="1:22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9" t="str">
        <f t="shared" si="0"/>
        <v/>
      </c>
      <c r="U64" s="19" t="str">
        <f>IFERROR(O64/INDEX(Sessoes!$L$3:$L$52,MATCH(A64,Sessoes!$A$3:$A$52,0)),"")</f>
        <v/>
      </c>
      <c r="V64" s="7"/>
    </row>
    <row r="65" spans="1:22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9" t="str">
        <f t="shared" si="0"/>
        <v/>
      </c>
      <c r="U65" s="19" t="str">
        <f>IFERROR(O65/INDEX(Sessoes!$L$3:$L$52,MATCH(A65,Sessoes!$A$3:$A$52,0)),"")</f>
        <v/>
      </c>
      <c r="V65" s="7"/>
    </row>
    <row r="66" spans="1:22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9" t="str">
        <f t="shared" ref="T66:T129" si="1">IF(OR(A66="",A66="EXEMPLO"),"",IF(F66="N","SIM","NÃO"))</f>
        <v/>
      </c>
      <c r="U66" s="19" t="str">
        <f>IFERROR(O66/INDEX(Sessoes!$L$3:$L$52,MATCH(A66,Sessoes!$A$3:$A$52,0)),"")</f>
        <v/>
      </c>
      <c r="V66" s="7"/>
    </row>
    <row r="67" spans="1:22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9" t="str">
        <f t="shared" si="1"/>
        <v/>
      </c>
      <c r="U67" s="19" t="str">
        <f>IFERROR(O67/INDEX(Sessoes!$L$3:$L$52,MATCH(A67,Sessoes!$A$3:$A$52,0)),"")</f>
        <v/>
      </c>
      <c r="V67" s="7"/>
    </row>
    <row r="68" spans="1:22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9" t="str">
        <f t="shared" si="1"/>
        <v/>
      </c>
      <c r="U68" s="19" t="str">
        <f>IFERROR(O68/INDEX(Sessoes!$L$3:$L$52,MATCH(A68,Sessoes!$A$3:$A$52,0)),"")</f>
        <v/>
      </c>
      <c r="V68" s="7"/>
    </row>
    <row r="69" spans="1:22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9" t="str">
        <f t="shared" si="1"/>
        <v/>
      </c>
      <c r="U69" s="19" t="str">
        <f>IFERROR(O69/INDEX(Sessoes!$L$3:$L$52,MATCH(A69,Sessoes!$A$3:$A$52,0)),"")</f>
        <v/>
      </c>
      <c r="V69" s="7"/>
    </row>
    <row r="70" spans="1:22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9" t="str">
        <f t="shared" si="1"/>
        <v/>
      </c>
      <c r="U70" s="19" t="str">
        <f>IFERROR(O70/INDEX(Sessoes!$L$3:$L$52,MATCH(A70,Sessoes!$A$3:$A$52,0)),"")</f>
        <v/>
      </c>
      <c r="V70" s="7"/>
    </row>
    <row r="71" spans="1:22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9" t="str">
        <f t="shared" si="1"/>
        <v/>
      </c>
      <c r="U71" s="19" t="str">
        <f>IFERROR(O71/INDEX(Sessoes!$L$3:$L$52,MATCH(A71,Sessoes!$A$3:$A$52,0)),"")</f>
        <v/>
      </c>
      <c r="V71" s="7"/>
    </row>
    <row r="72" spans="1:22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9" t="str">
        <f t="shared" si="1"/>
        <v/>
      </c>
      <c r="U72" s="19" t="str">
        <f>IFERROR(O72/INDEX(Sessoes!$L$3:$L$52,MATCH(A72,Sessoes!$A$3:$A$52,0)),"")</f>
        <v/>
      </c>
      <c r="V72" s="7"/>
    </row>
    <row r="73" spans="1:22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9" t="str">
        <f t="shared" si="1"/>
        <v/>
      </c>
      <c r="U73" s="19" t="str">
        <f>IFERROR(O73/INDEX(Sessoes!$L$3:$L$52,MATCH(A73,Sessoes!$A$3:$A$52,0)),"")</f>
        <v/>
      </c>
      <c r="V73" s="7"/>
    </row>
    <row r="74" spans="1:22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9" t="str">
        <f t="shared" si="1"/>
        <v/>
      </c>
      <c r="U74" s="19" t="str">
        <f>IFERROR(O74/INDEX(Sessoes!$L$3:$L$52,MATCH(A74,Sessoes!$A$3:$A$52,0)),"")</f>
        <v/>
      </c>
      <c r="V74" s="7"/>
    </row>
    <row r="75" spans="1:22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9" t="str">
        <f t="shared" si="1"/>
        <v/>
      </c>
      <c r="U75" s="19" t="str">
        <f>IFERROR(O75/INDEX(Sessoes!$L$3:$L$52,MATCH(A75,Sessoes!$A$3:$A$52,0)),"")</f>
        <v/>
      </c>
      <c r="V75" s="7"/>
    </row>
    <row r="76" spans="1:22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9" t="str">
        <f t="shared" si="1"/>
        <v/>
      </c>
      <c r="U76" s="19" t="str">
        <f>IFERROR(O76/INDEX(Sessoes!$L$3:$L$52,MATCH(A76,Sessoes!$A$3:$A$52,0)),"")</f>
        <v/>
      </c>
      <c r="V76" s="7"/>
    </row>
    <row r="77" spans="1:22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9" t="str">
        <f t="shared" si="1"/>
        <v/>
      </c>
      <c r="U77" s="19" t="str">
        <f>IFERROR(O77/INDEX(Sessoes!$L$3:$L$52,MATCH(A77,Sessoes!$A$3:$A$52,0)),"")</f>
        <v/>
      </c>
      <c r="V77" s="7"/>
    </row>
    <row r="78" spans="1:22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9" t="str">
        <f t="shared" si="1"/>
        <v/>
      </c>
      <c r="U78" s="19" t="str">
        <f>IFERROR(O78/INDEX(Sessoes!$L$3:$L$52,MATCH(A78,Sessoes!$A$3:$A$52,0)),"")</f>
        <v/>
      </c>
      <c r="V78" s="7"/>
    </row>
    <row r="79" spans="1:22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9" t="str">
        <f t="shared" si="1"/>
        <v/>
      </c>
      <c r="U79" s="19" t="str">
        <f>IFERROR(O79/INDEX(Sessoes!$L$3:$L$52,MATCH(A79,Sessoes!$A$3:$A$52,0)),"")</f>
        <v/>
      </c>
      <c r="V79" s="7"/>
    </row>
    <row r="80" spans="1:22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9" t="str">
        <f t="shared" si="1"/>
        <v/>
      </c>
      <c r="U80" s="19" t="str">
        <f>IFERROR(O80/INDEX(Sessoes!$L$3:$L$52,MATCH(A80,Sessoes!$A$3:$A$52,0)),"")</f>
        <v/>
      </c>
      <c r="V80" s="7"/>
    </row>
    <row r="81" spans="1:22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9" t="str">
        <f t="shared" si="1"/>
        <v/>
      </c>
      <c r="U81" s="19" t="str">
        <f>IFERROR(O81/INDEX(Sessoes!$L$3:$L$52,MATCH(A81,Sessoes!$A$3:$A$52,0)),"")</f>
        <v/>
      </c>
      <c r="V81" s="7"/>
    </row>
    <row r="82" spans="1:22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9" t="str">
        <f t="shared" si="1"/>
        <v/>
      </c>
      <c r="U82" s="19" t="str">
        <f>IFERROR(O82/INDEX(Sessoes!$L$3:$L$52,MATCH(A82,Sessoes!$A$3:$A$52,0)),"")</f>
        <v/>
      </c>
      <c r="V82" s="7"/>
    </row>
    <row r="83" spans="1:22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9" t="str">
        <f t="shared" si="1"/>
        <v/>
      </c>
      <c r="U83" s="19" t="str">
        <f>IFERROR(O83/INDEX(Sessoes!$L$3:$L$52,MATCH(A83,Sessoes!$A$3:$A$52,0)),"")</f>
        <v/>
      </c>
      <c r="V83" s="7"/>
    </row>
    <row r="84" spans="1:22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9" t="str">
        <f t="shared" si="1"/>
        <v/>
      </c>
      <c r="U84" s="19" t="str">
        <f>IFERROR(O84/INDEX(Sessoes!$L$3:$L$52,MATCH(A84,Sessoes!$A$3:$A$52,0)),"")</f>
        <v/>
      </c>
      <c r="V84" s="7"/>
    </row>
    <row r="85" spans="1:22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9" t="str">
        <f t="shared" si="1"/>
        <v/>
      </c>
      <c r="U85" s="19" t="str">
        <f>IFERROR(O85/INDEX(Sessoes!$L$3:$L$52,MATCH(A85,Sessoes!$A$3:$A$52,0)),"")</f>
        <v/>
      </c>
      <c r="V85" s="7"/>
    </row>
    <row r="86" spans="1:22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9" t="str">
        <f t="shared" si="1"/>
        <v/>
      </c>
      <c r="U86" s="19" t="str">
        <f>IFERROR(O86/INDEX(Sessoes!$L$3:$L$52,MATCH(A86,Sessoes!$A$3:$A$52,0)),"")</f>
        <v/>
      </c>
      <c r="V86" s="7"/>
    </row>
    <row r="87" spans="1:22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9" t="str">
        <f t="shared" si="1"/>
        <v/>
      </c>
      <c r="U87" s="19" t="str">
        <f>IFERROR(O87/INDEX(Sessoes!$L$3:$L$52,MATCH(A87,Sessoes!$A$3:$A$52,0)),"")</f>
        <v/>
      </c>
      <c r="V87" s="7"/>
    </row>
    <row r="88" spans="1:22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9" t="str">
        <f t="shared" si="1"/>
        <v/>
      </c>
      <c r="U88" s="19" t="str">
        <f>IFERROR(O88/INDEX(Sessoes!$L$3:$L$52,MATCH(A88,Sessoes!$A$3:$A$52,0)),"")</f>
        <v/>
      </c>
      <c r="V88" s="7"/>
    </row>
    <row r="89" spans="1:22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9" t="str">
        <f t="shared" si="1"/>
        <v/>
      </c>
      <c r="U89" s="19" t="str">
        <f>IFERROR(O89/INDEX(Sessoes!$L$3:$L$52,MATCH(A89,Sessoes!$A$3:$A$52,0)),"")</f>
        <v/>
      </c>
      <c r="V89" s="7"/>
    </row>
    <row r="90" spans="1:22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9" t="str">
        <f t="shared" si="1"/>
        <v/>
      </c>
      <c r="U90" s="19" t="str">
        <f>IFERROR(O90/INDEX(Sessoes!$L$3:$L$52,MATCH(A90,Sessoes!$A$3:$A$52,0)),"")</f>
        <v/>
      </c>
      <c r="V90" s="7"/>
    </row>
    <row r="91" spans="1:22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9" t="str">
        <f t="shared" si="1"/>
        <v/>
      </c>
      <c r="U91" s="19" t="str">
        <f>IFERROR(O91/INDEX(Sessoes!$L$3:$L$52,MATCH(A91,Sessoes!$A$3:$A$52,0)),"")</f>
        <v/>
      </c>
      <c r="V91" s="7"/>
    </row>
    <row r="92" spans="1:22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9" t="str">
        <f t="shared" si="1"/>
        <v/>
      </c>
      <c r="U92" s="19" t="str">
        <f>IFERROR(O92/INDEX(Sessoes!$L$3:$L$52,MATCH(A92,Sessoes!$A$3:$A$52,0)),"")</f>
        <v/>
      </c>
      <c r="V92" s="7"/>
    </row>
    <row r="93" spans="1:22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9" t="str">
        <f t="shared" si="1"/>
        <v/>
      </c>
      <c r="U93" s="19" t="str">
        <f>IFERROR(O93/INDEX(Sessoes!$L$3:$L$52,MATCH(A93,Sessoes!$A$3:$A$52,0)),"")</f>
        <v/>
      </c>
      <c r="V93" s="7"/>
    </row>
    <row r="94" spans="1:22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9" t="str">
        <f t="shared" si="1"/>
        <v/>
      </c>
      <c r="U94" s="19" t="str">
        <f>IFERROR(O94/INDEX(Sessoes!$L$3:$L$52,MATCH(A94,Sessoes!$A$3:$A$52,0)),"")</f>
        <v/>
      </c>
      <c r="V94" s="7"/>
    </row>
    <row r="95" spans="1:22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9" t="str">
        <f t="shared" si="1"/>
        <v/>
      </c>
      <c r="U95" s="19" t="str">
        <f>IFERROR(O95/INDEX(Sessoes!$L$3:$L$52,MATCH(A95,Sessoes!$A$3:$A$52,0)),"")</f>
        <v/>
      </c>
      <c r="V95" s="7"/>
    </row>
    <row r="96" spans="1:22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9" t="str">
        <f t="shared" si="1"/>
        <v/>
      </c>
      <c r="U96" s="19" t="str">
        <f>IFERROR(O96/INDEX(Sessoes!$L$3:$L$52,MATCH(A96,Sessoes!$A$3:$A$52,0)),"")</f>
        <v/>
      </c>
      <c r="V96" s="7"/>
    </row>
    <row r="97" spans="1:22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9" t="str">
        <f t="shared" si="1"/>
        <v/>
      </c>
      <c r="U97" s="19" t="str">
        <f>IFERROR(O97/INDEX(Sessoes!$L$3:$L$52,MATCH(A97,Sessoes!$A$3:$A$52,0)),"")</f>
        <v/>
      </c>
      <c r="V97" s="7"/>
    </row>
    <row r="98" spans="1:22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9" t="str">
        <f t="shared" si="1"/>
        <v/>
      </c>
      <c r="U98" s="19" t="str">
        <f>IFERROR(O98/INDEX(Sessoes!$L$3:$L$52,MATCH(A98,Sessoes!$A$3:$A$52,0)),"")</f>
        <v/>
      </c>
      <c r="V98" s="7"/>
    </row>
    <row r="99" spans="1:22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9" t="str">
        <f t="shared" si="1"/>
        <v/>
      </c>
      <c r="U99" s="19" t="str">
        <f>IFERROR(O99/INDEX(Sessoes!$L$3:$L$52,MATCH(A99,Sessoes!$A$3:$A$52,0)),"")</f>
        <v/>
      </c>
      <c r="V99" s="7"/>
    </row>
    <row r="100" spans="1:22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9" t="str">
        <f t="shared" si="1"/>
        <v/>
      </c>
      <c r="U100" s="19" t="str">
        <f>IFERROR(O100/INDEX(Sessoes!$L$3:$L$52,MATCH(A100,Sessoes!$A$3:$A$52,0)),"")</f>
        <v/>
      </c>
      <c r="V100" s="7"/>
    </row>
    <row r="101" spans="1:22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9" t="str">
        <f t="shared" si="1"/>
        <v/>
      </c>
      <c r="U101" s="19" t="str">
        <f>IFERROR(O101/INDEX(Sessoes!$L$3:$L$52,MATCH(A101,Sessoes!$A$3:$A$52,0)),"")</f>
        <v/>
      </c>
      <c r="V101" s="7"/>
    </row>
    <row r="102" spans="1:22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9" t="str">
        <f t="shared" si="1"/>
        <v/>
      </c>
      <c r="U102" s="19" t="str">
        <f>IFERROR(O102/INDEX(Sessoes!$L$3:$L$52,MATCH(A102,Sessoes!$A$3:$A$52,0)),"")</f>
        <v/>
      </c>
      <c r="V102" s="7"/>
    </row>
    <row r="103" spans="1:22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9" t="str">
        <f t="shared" si="1"/>
        <v/>
      </c>
      <c r="U103" s="19" t="str">
        <f>IFERROR(O103/INDEX(Sessoes!$L$3:$L$52,MATCH(A103,Sessoes!$A$3:$A$52,0)),"")</f>
        <v/>
      </c>
      <c r="V103" s="7"/>
    </row>
    <row r="104" spans="1:22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9" t="str">
        <f t="shared" si="1"/>
        <v/>
      </c>
      <c r="U104" s="19" t="str">
        <f>IFERROR(O104/INDEX(Sessoes!$L$3:$L$52,MATCH(A104,Sessoes!$A$3:$A$52,0)),"")</f>
        <v/>
      </c>
      <c r="V104" s="7"/>
    </row>
    <row r="105" spans="1:22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9" t="str">
        <f t="shared" si="1"/>
        <v/>
      </c>
      <c r="U105" s="19" t="str">
        <f>IFERROR(O105/INDEX(Sessoes!$L$3:$L$52,MATCH(A105,Sessoes!$A$3:$A$52,0)),"")</f>
        <v/>
      </c>
      <c r="V105" s="7"/>
    </row>
    <row r="106" spans="1:22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9" t="str">
        <f t="shared" si="1"/>
        <v/>
      </c>
      <c r="U106" s="19" t="str">
        <f>IFERROR(O106/INDEX(Sessoes!$L$3:$L$52,MATCH(A106,Sessoes!$A$3:$A$52,0)),"")</f>
        <v/>
      </c>
      <c r="V106" s="7"/>
    </row>
    <row r="107" spans="1:22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9" t="str">
        <f t="shared" si="1"/>
        <v/>
      </c>
      <c r="U107" s="19" t="str">
        <f>IFERROR(O107/INDEX(Sessoes!$L$3:$L$52,MATCH(A107,Sessoes!$A$3:$A$52,0)),"")</f>
        <v/>
      </c>
      <c r="V107" s="7"/>
    </row>
    <row r="108" spans="1:22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9" t="str">
        <f t="shared" si="1"/>
        <v/>
      </c>
      <c r="U108" s="19" t="str">
        <f>IFERROR(O108/INDEX(Sessoes!$L$3:$L$52,MATCH(A108,Sessoes!$A$3:$A$52,0)),"")</f>
        <v/>
      </c>
      <c r="V108" s="7"/>
    </row>
    <row r="109" spans="1:22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9" t="str">
        <f t="shared" si="1"/>
        <v/>
      </c>
      <c r="U109" s="19" t="str">
        <f>IFERROR(O109/INDEX(Sessoes!$L$3:$L$52,MATCH(A109,Sessoes!$A$3:$A$52,0)),"")</f>
        <v/>
      </c>
      <c r="V109" s="7"/>
    </row>
    <row r="110" spans="1:22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9" t="str">
        <f t="shared" si="1"/>
        <v/>
      </c>
      <c r="U110" s="19" t="str">
        <f>IFERROR(O110/INDEX(Sessoes!$L$3:$L$52,MATCH(A110,Sessoes!$A$3:$A$52,0)),"")</f>
        <v/>
      </c>
      <c r="V110" s="7"/>
    </row>
    <row r="111" spans="1:22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9" t="str">
        <f t="shared" si="1"/>
        <v/>
      </c>
      <c r="U111" s="19" t="str">
        <f>IFERROR(O111/INDEX(Sessoes!$L$3:$L$52,MATCH(A111,Sessoes!$A$3:$A$52,0)),"")</f>
        <v/>
      </c>
      <c r="V111" s="7"/>
    </row>
    <row r="112" spans="1:22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9" t="str">
        <f t="shared" si="1"/>
        <v/>
      </c>
      <c r="U112" s="19" t="str">
        <f>IFERROR(O112/INDEX(Sessoes!$L$3:$L$52,MATCH(A112,Sessoes!$A$3:$A$52,0)),"")</f>
        <v/>
      </c>
      <c r="V112" s="7"/>
    </row>
    <row r="113" spans="1:22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9" t="str">
        <f t="shared" si="1"/>
        <v/>
      </c>
      <c r="U113" s="19" t="str">
        <f>IFERROR(O113/INDEX(Sessoes!$L$3:$L$52,MATCH(A113,Sessoes!$A$3:$A$52,0)),"")</f>
        <v/>
      </c>
      <c r="V113" s="7"/>
    </row>
    <row r="114" spans="1:22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9" t="str">
        <f t="shared" si="1"/>
        <v/>
      </c>
      <c r="U114" s="19" t="str">
        <f>IFERROR(O114/INDEX(Sessoes!$L$3:$L$52,MATCH(A114,Sessoes!$A$3:$A$52,0)),"")</f>
        <v/>
      </c>
      <c r="V114" s="7"/>
    </row>
    <row r="115" spans="1:22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9" t="str">
        <f t="shared" si="1"/>
        <v/>
      </c>
      <c r="U115" s="19" t="str">
        <f>IFERROR(O115/INDEX(Sessoes!$L$3:$L$52,MATCH(A115,Sessoes!$A$3:$A$52,0)),"")</f>
        <v/>
      </c>
      <c r="V115" s="7"/>
    </row>
    <row r="116" spans="1:22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9" t="str">
        <f t="shared" si="1"/>
        <v/>
      </c>
      <c r="U116" s="19" t="str">
        <f>IFERROR(O116/INDEX(Sessoes!$L$3:$L$52,MATCH(A116,Sessoes!$A$3:$A$52,0)),"")</f>
        <v/>
      </c>
      <c r="V116" s="7"/>
    </row>
    <row r="117" spans="1:22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9" t="str">
        <f t="shared" si="1"/>
        <v/>
      </c>
      <c r="U117" s="19" t="str">
        <f>IFERROR(O117/INDEX(Sessoes!$L$3:$L$52,MATCH(A117,Sessoes!$A$3:$A$52,0)),"")</f>
        <v/>
      </c>
      <c r="V117" s="7"/>
    </row>
    <row r="118" spans="1:22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9" t="str">
        <f t="shared" si="1"/>
        <v/>
      </c>
      <c r="U118" s="19" t="str">
        <f>IFERROR(O118/INDEX(Sessoes!$L$3:$L$52,MATCH(A118,Sessoes!$A$3:$A$52,0)),"")</f>
        <v/>
      </c>
      <c r="V118" s="7"/>
    </row>
    <row r="119" spans="1:22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9" t="str">
        <f t="shared" si="1"/>
        <v/>
      </c>
      <c r="U119" s="19" t="str">
        <f>IFERROR(O119/INDEX(Sessoes!$L$3:$L$52,MATCH(A119,Sessoes!$A$3:$A$52,0)),"")</f>
        <v/>
      </c>
      <c r="V119" s="7"/>
    </row>
    <row r="120" spans="1:22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9" t="str">
        <f t="shared" si="1"/>
        <v/>
      </c>
      <c r="U120" s="19" t="str">
        <f>IFERROR(O120/INDEX(Sessoes!$L$3:$L$52,MATCH(A120,Sessoes!$A$3:$A$52,0)),"")</f>
        <v/>
      </c>
      <c r="V120" s="7"/>
    </row>
    <row r="121" spans="1:22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9" t="str">
        <f t="shared" si="1"/>
        <v/>
      </c>
      <c r="U121" s="19" t="str">
        <f>IFERROR(O121/INDEX(Sessoes!$L$3:$L$52,MATCH(A121,Sessoes!$A$3:$A$52,0)),"")</f>
        <v/>
      </c>
      <c r="V121" s="7"/>
    </row>
    <row r="122" spans="1:22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9" t="str">
        <f t="shared" si="1"/>
        <v/>
      </c>
      <c r="U122" s="19" t="str">
        <f>IFERROR(O122/INDEX(Sessoes!$L$3:$L$52,MATCH(A122,Sessoes!$A$3:$A$52,0)),"")</f>
        <v/>
      </c>
      <c r="V122" s="7"/>
    </row>
    <row r="123" spans="1:22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9" t="str">
        <f t="shared" si="1"/>
        <v/>
      </c>
      <c r="U123" s="19" t="str">
        <f>IFERROR(O123/INDEX(Sessoes!$L$3:$L$52,MATCH(A123,Sessoes!$A$3:$A$52,0)),"")</f>
        <v/>
      </c>
      <c r="V123" s="7"/>
    </row>
    <row r="124" spans="1:22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9" t="str">
        <f t="shared" si="1"/>
        <v/>
      </c>
      <c r="U124" s="19" t="str">
        <f>IFERROR(O124/INDEX(Sessoes!$L$3:$L$52,MATCH(A124,Sessoes!$A$3:$A$52,0)),"")</f>
        <v/>
      </c>
      <c r="V124" s="7"/>
    </row>
    <row r="125" spans="1:22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9" t="str">
        <f t="shared" si="1"/>
        <v/>
      </c>
      <c r="U125" s="19" t="str">
        <f>IFERROR(O125/INDEX(Sessoes!$L$3:$L$52,MATCH(A125,Sessoes!$A$3:$A$52,0)),"")</f>
        <v/>
      </c>
      <c r="V125" s="7"/>
    </row>
    <row r="126" spans="1:22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9" t="str">
        <f t="shared" si="1"/>
        <v/>
      </c>
      <c r="U126" s="19" t="str">
        <f>IFERROR(O126/INDEX(Sessoes!$L$3:$L$52,MATCH(A126,Sessoes!$A$3:$A$52,0)),"")</f>
        <v/>
      </c>
      <c r="V126" s="7"/>
    </row>
    <row r="127" spans="1:22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9" t="str">
        <f t="shared" si="1"/>
        <v/>
      </c>
      <c r="U127" s="19" t="str">
        <f>IFERROR(O127/INDEX(Sessoes!$L$3:$L$52,MATCH(A127,Sessoes!$A$3:$A$52,0)),"")</f>
        <v/>
      </c>
      <c r="V127" s="7"/>
    </row>
    <row r="128" spans="1:22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9" t="str">
        <f t="shared" si="1"/>
        <v/>
      </c>
      <c r="U128" s="19" t="str">
        <f>IFERROR(O128/INDEX(Sessoes!$L$3:$L$52,MATCH(A128,Sessoes!$A$3:$A$52,0)),"")</f>
        <v/>
      </c>
      <c r="V128" s="7"/>
    </row>
    <row r="129" spans="1:22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9" t="str">
        <f t="shared" si="1"/>
        <v/>
      </c>
      <c r="U129" s="19" t="str">
        <f>IFERROR(O129/INDEX(Sessoes!$L$3:$L$52,MATCH(A129,Sessoes!$A$3:$A$52,0)),"")</f>
        <v/>
      </c>
      <c r="V129" s="7"/>
    </row>
    <row r="130" spans="1:22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9" t="str">
        <f t="shared" ref="T130:T193" si="2">IF(OR(A130="",A130="EXEMPLO"),"",IF(F130="N","SIM","NÃO"))</f>
        <v/>
      </c>
      <c r="U130" s="19" t="str">
        <f>IFERROR(O130/INDEX(Sessoes!$L$3:$L$52,MATCH(A130,Sessoes!$A$3:$A$52,0)),"")</f>
        <v/>
      </c>
      <c r="V130" s="7"/>
    </row>
    <row r="131" spans="1:22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9" t="str">
        <f t="shared" si="2"/>
        <v/>
      </c>
      <c r="U131" s="19" t="str">
        <f>IFERROR(O131/INDEX(Sessoes!$L$3:$L$52,MATCH(A131,Sessoes!$A$3:$A$52,0)),"")</f>
        <v/>
      </c>
      <c r="V131" s="7"/>
    </row>
    <row r="132" spans="1:22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9" t="str">
        <f t="shared" si="2"/>
        <v/>
      </c>
      <c r="U132" s="19" t="str">
        <f>IFERROR(O132/INDEX(Sessoes!$L$3:$L$52,MATCH(A132,Sessoes!$A$3:$A$52,0)),"")</f>
        <v/>
      </c>
      <c r="V132" s="7"/>
    </row>
    <row r="133" spans="1:22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9" t="str">
        <f t="shared" si="2"/>
        <v/>
      </c>
      <c r="U133" s="19" t="str">
        <f>IFERROR(O133/INDEX(Sessoes!$L$3:$L$52,MATCH(A133,Sessoes!$A$3:$A$52,0)),"")</f>
        <v/>
      </c>
      <c r="V133" s="7"/>
    </row>
    <row r="134" spans="1:22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9" t="str">
        <f t="shared" si="2"/>
        <v/>
      </c>
      <c r="U134" s="19" t="str">
        <f>IFERROR(O134/INDEX(Sessoes!$L$3:$L$52,MATCH(A134,Sessoes!$A$3:$A$52,0)),"")</f>
        <v/>
      </c>
      <c r="V134" s="7"/>
    </row>
    <row r="135" spans="1:22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9" t="str">
        <f t="shared" si="2"/>
        <v/>
      </c>
      <c r="U135" s="19" t="str">
        <f>IFERROR(O135/INDEX(Sessoes!$L$3:$L$52,MATCH(A135,Sessoes!$A$3:$A$52,0)),"")</f>
        <v/>
      </c>
      <c r="V135" s="7"/>
    </row>
    <row r="136" spans="1:22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9" t="str">
        <f t="shared" si="2"/>
        <v/>
      </c>
      <c r="U136" s="19" t="str">
        <f>IFERROR(O136/INDEX(Sessoes!$L$3:$L$52,MATCH(A136,Sessoes!$A$3:$A$52,0)),"")</f>
        <v/>
      </c>
      <c r="V136" s="7"/>
    </row>
    <row r="137" spans="1:22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9" t="str">
        <f t="shared" si="2"/>
        <v/>
      </c>
      <c r="U137" s="19" t="str">
        <f>IFERROR(O137/INDEX(Sessoes!$L$3:$L$52,MATCH(A137,Sessoes!$A$3:$A$52,0)),"")</f>
        <v/>
      </c>
      <c r="V137" s="7"/>
    </row>
    <row r="138" spans="1:22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9" t="str">
        <f t="shared" si="2"/>
        <v/>
      </c>
      <c r="U138" s="19" t="str">
        <f>IFERROR(O138/INDEX(Sessoes!$L$3:$L$52,MATCH(A138,Sessoes!$A$3:$A$52,0)),"")</f>
        <v/>
      </c>
      <c r="V138" s="7"/>
    </row>
    <row r="139" spans="1:22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9" t="str">
        <f t="shared" si="2"/>
        <v/>
      </c>
      <c r="U139" s="19" t="str">
        <f>IFERROR(O139/INDEX(Sessoes!$L$3:$L$52,MATCH(A139,Sessoes!$A$3:$A$52,0)),"")</f>
        <v/>
      </c>
      <c r="V139" s="7"/>
    </row>
    <row r="140" spans="1:22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9" t="str">
        <f t="shared" si="2"/>
        <v/>
      </c>
      <c r="U140" s="19" t="str">
        <f>IFERROR(O140/INDEX(Sessoes!$L$3:$L$52,MATCH(A140,Sessoes!$A$3:$A$52,0)),"")</f>
        <v/>
      </c>
      <c r="V140" s="7"/>
    </row>
    <row r="141" spans="1:22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9" t="str">
        <f t="shared" si="2"/>
        <v/>
      </c>
      <c r="U141" s="19" t="str">
        <f>IFERROR(O141/INDEX(Sessoes!$L$3:$L$52,MATCH(A141,Sessoes!$A$3:$A$52,0)),"")</f>
        <v/>
      </c>
      <c r="V141" s="7"/>
    </row>
    <row r="142" spans="1:22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9" t="str">
        <f t="shared" si="2"/>
        <v/>
      </c>
      <c r="U142" s="19" t="str">
        <f>IFERROR(O142/INDEX(Sessoes!$L$3:$L$52,MATCH(A142,Sessoes!$A$3:$A$52,0)),"")</f>
        <v/>
      </c>
      <c r="V142" s="7"/>
    </row>
    <row r="143" spans="1:22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9" t="str">
        <f t="shared" si="2"/>
        <v/>
      </c>
      <c r="U143" s="19" t="str">
        <f>IFERROR(O143/INDEX(Sessoes!$L$3:$L$52,MATCH(A143,Sessoes!$A$3:$A$52,0)),"")</f>
        <v/>
      </c>
      <c r="V143" s="7"/>
    </row>
    <row r="144" spans="1:22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9" t="str">
        <f t="shared" si="2"/>
        <v/>
      </c>
      <c r="U144" s="19" t="str">
        <f>IFERROR(O144/INDEX(Sessoes!$L$3:$L$52,MATCH(A144,Sessoes!$A$3:$A$52,0)),"")</f>
        <v/>
      </c>
      <c r="V144" s="7"/>
    </row>
    <row r="145" spans="1:22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9" t="str">
        <f t="shared" si="2"/>
        <v/>
      </c>
      <c r="U145" s="19" t="str">
        <f>IFERROR(O145/INDEX(Sessoes!$L$3:$L$52,MATCH(A145,Sessoes!$A$3:$A$52,0)),"")</f>
        <v/>
      </c>
      <c r="V145" s="7"/>
    </row>
    <row r="146" spans="1:22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9" t="str">
        <f t="shared" si="2"/>
        <v/>
      </c>
      <c r="U146" s="19" t="str">
        <f>IFERROR(O146/INDEX(Sessoes!$L$3:$L$52,MATCH(A146,Sessoes!$A$3:$A$52,0)),"")</f>
        <v/>
      </c>
      <c r="V146" s="7"/>
    </row>
    <row r="147" spans="1:22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9" t="str">
        <f t="shared" si="2"/>
        <v/>
      </c>
      <c r="U147" s="19" t="str">
        <f>IFERROR(O147/INDEX(Sessoes!$L$3:$L$52,MATCH(A147,Sessoes!$A$3:$A$52,0)),"")</f>
        <v/>
      </c>
      <c r="V147" s="7"/>
    </row>
    <row r="148" spans="1:22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9" t="str">
        <f t="shared" si="2"/>
        <v/>
      </c>
      <c r="U148" s="19" t="str">
        <f>IFERROR(O148/INDEX(Sessoes!$L$3:$L$52,MATCH(A148,Sessoes!$A$3:$A$52,0)),"")</f>
        <v/>
      </c>
      <c r="V148" s="7"/>
    </row>
    <row r="149" spans="1:22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9" t="str">
        <f t="shared" si="2"/>
        <v/>
      </c>
      <c r="U149" s="19" t="str">
        <f>IFERROR(O149/INDEX(Sessoes!$L$3:$L$52,MATCH(A149,Sessoes!$A$3:$A$52,0)),"")</f>
        <v/>
      </c>
      <c r="V149" s="7"/>
    </row>
    <row r="150" spans="1:22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9" t="str">
        <f t="shared" si="2"/>
        <v/>
      </c>
      <c r="U150" s="19" t="str">
        <f>IFERROR(O150/INDEX(Sessoes!$L$3:$L$52,MATCH(A150,Sessoes!$A$3:$A$52,0)),"")</f>
        <v/>
      </c>
      <c r="V150" s="7"/>
    </row>
    <row r="151" spans="1:22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9" t="str">
        <f t="shared" si="2"/>
        <v/>
      </c>
      <c r="U151" s="19" t="str">
        <f>IFERROR(O151/INDEX(Sessoes!$L$3:$L$52,MATCH(A151,Sessoes!$A$3:$A$52,0)),"")</f>
        <v/>
      </c>
      <c r="V151" s="7"/>
    </row>
    <row r="152" spans="1:22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9" t="str">
        <f t="shared" si="2"/>
        <v/>
      </c>
      <c r="U152" s="19" t="str">
        <f>IFERROR(O152/INDEX(Sessoes!$L$3:$L$52,MATCH(A152,Sessoes!$A$3:$A$52,0)),"")</f>
        <v/>
      </c>
      <c r="V152" s="7"/>
    </row>
    <row r="153" spans="1:22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9" t="str">
        <f t="shared" si="2"/>
        <v/>
      </c>
      <c r="U153" s="19" t="str">
        <f>IFERROR(O153/INDEX(Sessoes!$L$3:$L$52,MATCH(A153,Sessoes!$A$3:$A$52,0)),"")</f>
        <v/>
      </c>
      <c r="V153" s="7"/>
    </row>
    <row r="154" spans="1:22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9" t="str">
        <f t="shared" si="2"/>
        <v/>
      </c>
      <c r="U154" s="19" t="str">
        <f>IFERROR(O154/INDEX(Sessoes!$L$3:$L$52,MATCH(A154,Sessoes!$A$3:$A$52,0)),"")</f>
        <v/>
      </c>
      <c r="V154" s="7"/>
    </row>
    <row r="155" spans="1:22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9" t="str">
        <f t="shared" si="2"/>
        <v/>
      </c>
      <c r="U155" s="19" t="str">
        <f>IFERROR(O155/INDEX(Sessoes!$L$3:$L$52,MATCH(A155,Sessoes!$A$3:$A$52,0)),"")</f>
        <v/>
      </c>
      <c r="V155" s="7"/>
    </row>
    <row r="156" spans="1:22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9" t="str">
        <f t="shared" si="2"/>
        <v/>
      </c>
      <c r="U156" s="19" t="str">
        <f>IFERROR(O156/INDEX(Sessoes!$L$3:$L$52,MATCH(A156,Sessoes!$A$3:$A$52,0)),"")</f>
        <v/>
      </c>
      <c r="V156" s="7"/>
    </row>
    <row r="157" spans="1:22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9" t="str">
        <f t="shared" si="2"/>
        <v/>
      </c>
      <c r="U157" s="19" t="str">
        <f>IFERROR(O157/INDEX(Sessoes!$L$3:$L$52,MATCH(A157,Sessoes!$A$3:$A$52,0)),"")</f>
        <v/>
      </c>
      <c r="V157" s="7"/>
    </row>
    <row r="158" spans="1:22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9" t="str">
        <f t="shared" si="2"/>
        <v/>
      </c>
      <c r="U158" s="19" t="str">
        <f>IFERROR(O158/INDEX(Sessoes!$L$3:$L$52,MATCH(A158,Sessoes!$A$3:$A$52,0)),"")</f>
        <v/>
      </c>
      <c r="V158" s="7"/>
    </row>
    <row r="159" spans="1:22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9" t="str">
        <f t="shared" si="2"/>
        <v/>
      </c>
      <c r="U159" s="19" t="str">
        <f>IFERROR(O159/INDEX(Sessoes!$L$3:$L$52,MATCH(A159,Sessoes!$A$3:$A$52,0)),"")</f>
        <v/>
      </c>
      <c r="V159" s="7"/>
    </row>
    <row r="160" spans="1:22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9" t="str">
        <f t="shared" si="2"/>
        <v/>
      </c>
      <c r="U160" s="19" t="str">
        <f>IFERROR(O160/INDEX(Sessoes!$L$3:$L$52,MATCH(A160,Sessoes!$A$3:$A$52,0)),"")</f>
        <v/>
      </c>
      <c r="V160" s="7"/>
    </row>
    <row r="161" spans="1:22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9" t="str">
        <f t="shared" si="2"/>
        <v/>
      </c>
      <c r="U161" s="19" t="str">
        <f>IFERROR(O161/INDEX(Sessoes!$L$3:$L$52,MATCH(A161,Sessoes!$A$3:$A$52,0)),"")</f>
        <v/>
      </c>
      <c r="V161" s="7"/>
    </row>
    <row r="162" spans="1:22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9" t="str">
        <f t="shared" si="2"/>
        <v/>
      </c>
      <c r="U162" s="19" t="str">
        <f>IFERROR(O162/INDEX(Sessoes!$L$3:$L$52,MATCH(A162,Sessoes!$A$3:$A$52,0)),"")</f>
        <v/>
      </c>
      <c r="V162" s="7"/>
    </row>
    <row r="163" spans="1:22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9" t="str">
        <f t="shared" si="2"/>
        <v/>
      </c>
      <c r="U163" s="19" t="str">
        <f>IFERROR(O163/INDEX(Sessoes!$L$3:$L$52,MATCH(A163,Sessoes!$A$3:$A$52,0)),"")</f>
        <v/>
      </c>
      <c r="V163" s="7"/>
    </row>
    <row r="164" spans="1:22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9" t="str">
        <f t="shared" si="2"/>
        <v/>
      </c>
      <c r="U164" s="19" t="str">
        <f>IFERROR(O164/INDEX(Sessoes!$L$3:$L$52,MATCH(A164,Sessoes!$A$3:$A$52,0)),"")</f>
        <v/>
      </c>
      <c r="V164" s="7"/>
    </row>
    <row r="165" spans="1:22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9" t="str">
        <f t="shared" si="2"/>
        <v/>
      </c>
      <c r="U165" s="19" t="str">
        <f>IFERROR(O165/INDEX(Sessoes!$L$3:$L$52,MATCH(A165,Sessoes!$A$3:$A$52,0)),"")</f>
        <v/>
      </c>
      <c r="V165" s="7"/>
    </row>
    <row r="166" spans="1:22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9" t="str">
        <f t="shared" si="2"/>
        <v/>
      </c>
      <c r="U166" s="19" t="str">
        <f>IFERROR(O166/INDEX(Sessoes!$L$3:$L$52,MATCH(A166,Sessoes!$A$3:$A$52,0)),"")</f>
        <v/>
      </c>
      <c r="V166" s="7"/>
    </row>
    <row r="167" spans="1:22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9" t="str">
        <f t="shared" si="2"/>
        <v/>
      </c>
      <c r="U167" s="19" t="str">
        <f>IFERROR(O167/INDEX(Sessoes!$L$3:$L$52,MATCH(A167,Sessoes!$A$3:$A$52,0)),"")</f>
        <v/>
      </c>
      <c r="V167" s="7"/>
    </row>
    <row r="168" spans="1:22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9" t="str">
        <f t="shared" si="2"/>
        <v/>
      </c>
      <c r="U168" s="19" t="str">
        <f>IFERROR(O168/INDEX(Sessoes!$L$3:$L$52,MATCH(A168,Sessoes!$A$3:$A$52,0)),"")</f>
        <v/>
      </c>
      <c r="V168" s="7"/>
    </row>
    <row r="169" spans="1:22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9" t="str">
        <f t="shared" si="2"/>
        <v/>
      </c>
      <c r="U169" s="19" t="str">
        <f>IFERROR(O169/INDEX(Sessoes!$L$3:$L$52,MATCH(A169,Sessoes!$A$3:$A$52,0)),"")</f>
        <v/>
      </c>
      <c r="V169" s="7"/>
    </row>
    <row r="170" spans="1:22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9" t="str">
        <f t="shared" si="2"/>
        <v/>
      </c>
      <c r="U170" s="19" t="str">
        <f>IFERROR(O170/INDEX(Sessoes!$L$3:$L$52,MATCH(A170,Sessoes!$A$3:$A$52,0)),"")</f>
        <v/>
      </c>
      <c r="V170" s="7"/>
    </row>
    <row r="171" spans="1:22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9" t="str">
        <f t="shared" si="2"/>
        <v/>
      </c>
      <c r="U171" s="19" t="str">
        <f>IFERROR(O171/INDEX(Sessoes!$L$3:$L$52,MATCH(A171,Sessoes!$A$3:$A$52,0)),"")</f>
        <v/>
      </c>
      <c r="V171" s="7"/>
    </row>
    <row r="172" spans="1:22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9" t="str">
        <f t="shared" si="2"/>
        <v/>
      </c>
      <c r="U172" s="19" t="str">
        <f>IFERROR(O172/INDEX(Sessoes!$L$3:$L$52,MATCH(A172,Sessoes!$A$3:$A$52,0)),"")</f>
        <v/>
      </c>
      <c r="V172" s="7"/>
    </row>
    <row r="173" spans="1:22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9" t="str">
        <f t="shared" si="2"/>
        <v/>
      </c>
      <c r="U173" s="19" t="str">
        <f>IFERROR(O173/INDEX(Sessoes!$L$3:$L$52,MATCH(A173,Sessoes!$A$3:$A$52,0)),"")</f>
        <v/>
      </c>
      <c r="V173" s="7"/>
    </row>
    <row r="174" spans="1:22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9" t="str">
        <f t="shared" si="2"/>
        <v/>
      </c>
      <c r="U174" s="19" t="str">
        <f>IFERROR(O174/INDEX(Sessoes!$L$3:$L$52,MATCH(A174,Sessoes!$A$3:$A$52,0)),"")</f>
        <v/>
      </c>
      <c r="V174" s="7"/>
    </row>
    <row r="175" spans="1:22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9" t="str">
        <f t="shared" si="2"/>
        <v/>
      </c>
      <c r="U175" s="19" t="str">
        <f>IFERROR(O175/INDEX(Sessoes!$L$3:$L$52,MATCH(A175,Sessoes!$A$3:$A$52,0)),"")</f>
        <v/>
      </c>
      <c r="V175" s="7"/>
    </row>
    <row r="176" spans="1:22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9" t="str">
        <f t="shared" si="2"/>
        <v/>
      </c>
      <c r="U176" s="19" t="str">
        <f>IFERROR(O176/INDEX(Sessoes!$L$3:$L$52,MATCH(A176,Sessoes!$A$3:$A$52,0)),"")</f>
        <v/>
      </c>
      <c r="V176" s="7"/>
    </row>
    <row r="177" spans="1:22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9" t="str">
        <f t="shared" si="2"/>
        <v/>
      </c>
      <c r="U177" s="19" t="str">
        <f>IFERROR(O177/INDEX(Sessoes!$L$3:$L$52,MATCH(A177,Sessoes!$A$3:$A$52,0)),"")</f>
        <v/>
      </c>
      <c r="V177" s="7"/>
    </row>
    <row r="178" spans="1:22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9" t="str">
        <f t="shared" si="2"/>
        <v/>
      </c>
      <c r="U178" s="19" t="str">
        <f>IFERROR(O178/INDEX(Sessoes!$L$3:$L$52,MATCH(A178,Sessoes!$A$3:$A$52,0)),"")</f>
        <v/>
      </c>
      <c r="V178" s="7"/>
    </row>
    <row r="179" spans="1:22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9" t="str">
        <f t="shared" si="2"/>
        <v/>
      </c>
      <c r="U179" s="19" t="str">
        <f>IFERROR(O179/INDEX(Sessoes!$L$3:$L$52,MATCH(A179,Sessoes!$A$3:$A$52,0)),"")</f>
        <v/>
      </c>
      <c r="V179" s="7"/>
    </row>
    <row r="180" spans="1:22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9" t="str">
        <f t="shared" si="2"/>
        <v/>
      </c>
      <c r="U180" s="19" t="str">
        <f>IFERROR(O180/INDEX(Sessoes!$L$3:$L$52,MATCH(A180,Sessoes!$A$3:$A$52,0)),"")</f>
        <v/>
      </c>
      <c r="V180" s="7"/>
    </row>
    <row r="181" spans="1:22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9" t="str">
        <f t="shared" si="2"/>
        <v/>
      </c>
      <c r="U181" s="19" t="str">
        <f>IFERROR(O181/INDEX(Sessoes!$L$3:$L$52,MATCH(A181,Sessoes!$A$3:$A$52,0)),"")</f>
        <v/>
      </c>
      <c r="V181" s="7"/>
    </row>
    <row r="182" spans="1:22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9" t="str">
        <f t="shared" si="2"/>
        <v/>
      </c>
      <c r="U182" s="19" t="str">
        <f>IFERROR(O182/INDEX(Sessoes!$L$3:$L$52,MATCH(A182,Sessoes!$A$3:$A$52,0)),"")</f>
        <v/>
      </c>
      <c r="V182" s="7"/>
    </row>
    <row r="183" spans="1:22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9" t="str">
        <f t="shared" si="2"/>
        <v/>
      </c>
      <c r="U183" s="19" t="str">
        <f>IFERROR(O183/INDEX(Sessoes!$L$3:$L$52,MATCH(A183,Sessoes!$A$3:$A$52,0)),"")</f>
        <v/>
      </c>
      <c r="V183" s="7"/>
    </row>
    <row r="184" spans="1:22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9" t="str">
        <f t="shared" si="2"/>
        <v/>
      </c>
      <c r="U184" s="19" t="str">
        <f>IFERROR(O184/INDEX(Sessoes!$L$3:$L$52,MATCH(A184,Sessoes!$A$3:$A$52,0)),"")</f>
        <v/>
      </c>
      <c r="V184" s="7"/>
    </row>
    <row r="185" spans="1:22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9" t="str">
        <f t="shared" si="2"/>
        <v/>
      </c>
      <c r="U185" s="19" t="str">
        <f>IFERROR(O185/INDEX(Sessoes!$L$3:$L$52,MATCH(A185,Sessoes!$A$3:$A$52,0)),"")</f>
        <v/>
      </c>
      <c r="V185" s="7"/>
    </row>
    <row r="186" spans="1:22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9" t="str">
        <f t="shared" si="2"/>
        <v/>
      </c>
      <c r="U186" s="19" t="str">
        <f>IFERROR(O186/INDEX(Sessoes!$L$3:$L$52,MATCH(A186,Sessoes!$A$3:$A$52,0)),"")</f>
        <v/>
      </c>
      <c r="V186" s="7"/>
    </row>
    <row r="187" spans="1:22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9" t="str">
        <f t="shared" si="2"/>
        <v/>
      </c>
      <c r="U187" s="19" t="str">
        <f>IFERROR(O187/INDEX(Sessoes!$L$3:$L$52,MATCH(A187,Sessoes!$A$3:$A$52,0)),"")</f>
        <v/>
      </c>
      <c r="V187" s="7"/>
    </row>
    <row r="188" spans="1:22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9" t="str">
        <f t="shared" si="2"/>
        <v/>
      </c>
      <c r="U188" s="19" t="str">
        <f>IFERROR(O188/INDEX(Sessoes!$L$3:$L$52,MATCH(A188,Sessoes!$A$3:$A$52,0)),"")</f>
        <v/>
      </c>
      <c r="V188" s="7"/>
    </row>
    <row r="189" spans="1:22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9" t="str">
        <f t="shared" si="2"/>
        <v/>
      </c>
      <c r="U189" s="19" t="str">
        <f>IFERROR(O189/INDEX(Sessoes!$L$3:$L$52,MATCH(A189,Sessoes!$A$3:$A$52,0)),"")</f>
        <v/>
      </c>
      <c r="V189" s="7"/>
    </row>
    <row r="190" spans="1:22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9" t="str">
        <f t="shared" si="2"/>
        <v/>
      </c>
      <c r="U190" s="19" t="str">
        <f>IFERROR(O190/INDEX(Sessoes!$L$3:$L$52,MATCH(A190,Sessoes!$A$3:$A$52,0)),"")</f>
        <v/>
      </c>
      <c r="V190" s="7"/>
    </row>
    <row r="191" spans="1:22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9" t="str">
        <f t="shared" si="2"/>
        <v/>
      </c>
      <c r="U191" s="19" t="str">
        <f>IFERROR(O191/INDEX(Sessoes!$L$3:$L$52,MATCH(A191,Sessoes!$A$3:$A$52,0)),"")</f>
        <v/>
      </c>
      <c r="V191" s="7"/>
    </row>
    <row r="192" spans="1:22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9" t="str">
        <f t="shared" si="2"/>
        <v/>
      </c>
      <c r="U192" s="19" t="str">
        <f>IFERROR(O192/INDEX(Sessoes!$L$3:$L$52,MATCH(A192,Sessoes!$A$3:$A$52,0)),"")</f>
        <v/>
      </c>
      <c r="V192" s="7"/>
    </row>
    <row r="193" spans="1:22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9" t="str">
        <f t="shared" si="2"/>
        <v/>
      </c>
      <c r="U193" s="19" t="str">
        <f>IFERROR(O193/INDEX(Sessoes!$L$3:$L$52,MATCH(A193,Sessoes!$A$3:$A$52,0)),"")</f>
        <v/>
      </c>
      <c r="V193" s="7"/>
    </row>
    <row r="194" spans="1:22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9" t="str">
        <f t="shared" ref="T194:T202" si="3">IF(OR(A194="",A194="EXEMPLO"),"",IF(F194="N","SIM","NÃO"))</f>
        <v/>
      </c>
      <c r="U194" s="19" t="str">
        <f>IFERROR(O194/INDEX(Sessoes!$L$3:$L$52,MATCH(A194,Sessoes!$A$3:$A$52,0)),"")</f>
        <v/>
      </c>
      <c r="V194" s="7"/>
    </row>
    <row r="195" spans="1:22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9" t="str">
        <f t="shared" si="3"/>
        <v/>
      </c>
      <c r="U195" s="19" t="str">
        <f>IFERROR(O195/INDEX(Sessoes!$L$3:$L$52,MATCH(A195,Sessoes!$A$3:$A$52,0)),"")</f>
        <v/>
      </c>
      <c r="V195" s="7"/>
    </row>
    <row r="196" spans="1:22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9" t="str">
        <f t="shared" si="3"/>
        <v/>
      </c>
      <c r="U196" s="19" t="str">
        <f>IFERROR(O196/INDEX(Sessoes!$L$3:$L$52,MATCH(A196,Sessoes!$A$3:$A$52,0)),"")</f>
        <v/>
      </c>
      <c r="V196" s="7"/>
    </row>
    <row r="197" spans="1:22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9" t="str">
        <f t="shared" si="3"/>
        <v/>
      </c>
      <c r="U197" s="19" t="str">
        <f>IFERROR(O197/INDEX(Sessoes!$L$3:$L$52,MATCH(A197,Sessoes!$A$3:$A$52,0)),"")</f>
        <v/>
      </c>
      <c r="V197" s="7"/>
    </row>
    <row r="198" spans="1:22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9" t="str">
        <f t="shared" si="3"/>
        <v/>
      </c>
      <c r="U198" s="19" t="str">
        <f>IFERROR(O198/INDEX(Sessoes!$L$3:$L$52,MATCH(A198,Sessoes!$A$3:$A$52,0)),"")</f>
        <v/>
      </c>
      <c r="V198" s="7"/>
    </row>
    <row r="199" spans="1:22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9" t="str">
        <f t="shared" si="3"/>
        <v/>
      </c>
      <c r="U199" s="19" t="str">
        <f>IFERROR(O199/INDEX(Sessoes!$L$3:$L$52,MATCH(A199,Sessoes!$A$3:$A$52,0)),"")</f>
        <v/>
      </c>
      <c r="V199" s="7"/>
    </row>
    <row r="200" spans="1:22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9" t="str">
        <f t="shared" si="3"/>
        <v/>
      </c>
      <c r="U200" s="19" t="str">
        <f>IFERROR(O200/INDEX(Sessoes!$L$3:$L$52,MATCH(A200,Sessoes!$A$3:$A$52,0)),"")</f>
        <v/>
      </c>
      <c r="V200" s="7"/>
    </row>
    <row r="201" spans="1:22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9" t="str">
        <f t="shared" si="3"/>
        <v/>
      </c>
      <c r="U201" s="19" t="str">
        <f>IFERROR(O201/INDEX(Sessoes!$L$3:$L$52,MATCH(A201,Sessoes!$A$3:$A$52,0)),"")</f>
        <v/>
      </c>
      <c r="V201" s="7"/>
    </row>
    <row r="202" spans="1:22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9" t="str">
        <f t="shared" si="3"/>
        <v/>
      </c>
      <c r="U202" s="19" t="str">
        <f>IFERROR(O202/INDEX(Sessoes!$L$3:$L$52,MATCH(A202,Sessoes!$A$3:$A$52,0)),"")</f>
        <v/>
      </c>
      <c r="V202" s="7"/>
    </row>
  </sheetData>
  <dataValidations count="4">
    <dataValidation type="list" allowBlank="1" errorTitle="Valor inválido" error="Escolha um valor da lista." sqref="B3:B202" xr:uid="{00000000-0002-0000-0300-000000000000}">
      <formula1>"T1,T2,T3,T4,T5"</formula1>
    </dataValidation>
    <dataValidation type="list" allowBlank="1" errorTitle="Valor inválido" error="Escolha um valor da lista." sqref="D3:E202" xr:uid="{00000000-0002-0000-0300-000001000000}">
      <formula1>"ANF,J1,J2,J3,J4,J5,J6,J7,J8"</formula1>
    </dataValidation>
    <dataValidation type="list" allowBlank="1" errorTitle="Valor inválido" error="Escolha um valor da lista." sqref="F3:F202" xr:uid="{00000000-0002-0000-0300-000002000000}">
      <formula1>"S,N"</formula1>
    </dataValidation>
    <dataValidation type="whole" allowBlank="1" error="Nota de 1 a 5." sqref="R3:S202" xr:uid="{00000000-0002-0000-0300-000003000000}">
      <formula1>1</formula1>
      <formula2>5</formula2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Cadastre a sessão na aba Sessoes primeiro." xr:uid="{00000000-0002-0000-0300-000004000000}">
          <x14:formula1>
            <xm:f>Sessoes!$A$3:$A$52</xm:f>
          </x14:formula1>
          <xm:sqref>A3:A202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10" customWidth="1"/>
    <col min="3" max="3" width="12" customWidth="1"/>
    <col min="4" max="4" width="70" customWidth="1"/>
  </cols>
  <sheetData>
    <row r="1" spans="1:4" ht="42" customHeight="1" x14ac:dyDescent="0.25">
      <c r="A1" s="10" t="s">
        <v>78</v>
      </c>
      <c r="B1" s="10" t="s">
        <v>104</v>
      </c>
      <c r="C1" s="10" t="s">
        <v>105</v>
      </c>
      <c r="D1" s="10" t="s">
        <v>106</v>
      </c>
    </row>
    <row r="2" spans="1:4" x14ac:dyDescent="0.25">
      <c r="A2" s="16" t="s">
        <v>68</v>
      </c>
      <c r="B2" s="16" t="s">
        <v>100</v>
      </c>
      <c r="C2" s="16">
        <v>4</v>
      </c>
      <c r="D2" s="16" t="s">
        <v>107</v>
      </c>
    </row>
    <row r="3" spans="1:4" x14ac:dyDescent="0.25">
      <c r="A3" s="7"/>
      <c r="B3" s="7"/>
      <c r="C3" s="7"/>
      <c r="D3" s="7"/>
    </row>
    <row r="4" spans="1:4" x14ac:dyDescent="0.25">
      <c r="A4" s="7"/>
      <c r="B4" s="7"/>
      <c r="C4" s="7"/>
      <c r="D4" s="7"/>
    </row>
    <row r="5" spans="1:4" x14ac:dyDescent="0.25">
      <c r="A5" s="7"/>
      <c r="B5" s="7"/>
      <c r="C5" s="7"/>
      <c r="D5" s="7"/>
    </row>
    <row r="6" spans="1:4" x14ac:dyDescent="0.25">
      <c r="A6" s="7"/>
      <c r="B6" s="7"/>
      <c r="C6" s="7"/>
      <c r="D6" s="7"/>
    </row>
    <row r="7" spans="1:4" x14ac:dyDescent="0.25">
      <c r="A7" s="7"/>
      <c r="B7" s="7"/>
      <c r="C7" s="7"/>
      <c r="D7" s="7"/>
    </row>
    <row r="8" spans="1:4" x14ac:dyDescent="0.25">
      <c r="A8" s="7"/>
      <c r="B8" s="7"/>
      <c r="C8" s="7"/>
      <c r="D8" s="7"/>
    </row>
    <row r="9" spans="1:4" x14ac:dyDescent="0.25">
      <c r="A9" s="7"/>
      <c r="B9" s="7"/>
      <c r="C9" s="7"/>
      <c r="D9" s="7"/>
    </row>
    <row r="10" spans="1:4" x14ac:dyDescent="0.25">
      <c r="A10" s="7"/>
      <c r="B10" s="7"/>
      <c r="C10" s="7"/>
      <c r="D10" s="7"/>
    </row>
    <row r="11" spans="1:4" x14ac:dyDescent="0.25">
      <c r="A11" s="7"/>
      <c r="B11" s="7"/>
      <c r="C11" s="7"/>
      <c r="D11" s="7"/>
    </row>
    <row r="12" spans="1:4" x14ac:dyDescent="0.25">
      <c r="A12" s="7"/>
      <c r="B12" s="7"/>
      <c r="C12" s="7"/>
      <c r="D12" s="7"/>
    </row>
    <row r="13" spans="1:4" x14ac:dyDescent="0.25">
      <c r="A13" s="7"/>
      <c r="B13" s="7"/>
      <c r="C13" s="7"/>
      <c r="D13" s="7"/>
    </row>
    <row r="14" spans="1:4" x14ac:dyDescent="0.25">
      <c r="A14" s="7"/>
      <c r="B14" s="7"/>
      <c r="C14" s="7"/>
      <c r="D14" s="7"/>
    </row>
    <row r="15" spans="1:4" x14ac:dyDescent="0.25">
      <c r="A15" s="7"/>
      <c r="B15" s="7"/>
      <c r="C15" s="7"/>
      <c r="D15" s="7"/>
    </row>
    <row r="16" spans="1:4" x14ac:dyDescent="0.25">
      <c r="A16" s="7"/>
      <c r="B16" s="7"/>
      <c r="C16" s="7"/>
      <c r="D16" s="7"/>
    </row>
    <row r="17" spans="1:4" x14ac:dyDescent="0.25">
      <c r="A17" s="7"/>
      <c r="B17" s="7"/>
      <c r="C17" s="7"/>
      <c r="D17" s="7"/>
    </row>
    <row r="18" spans="1:4" x14ac:dyDescent="0.25">
      <c r="A18" s="7"/>
      <c r="B18" s="7"/>
      <c r="C18" s="7"/>
      <c r="D18" s="7"/>
    </row>
    <row r="19" spans="1:4" x14ac:dyDescent="0.25">
      <c r="A19" s="7"/>
      <c r="B19" s="7"/>
      <c r="C19" s="7"/>
      <c r="D19" s="7"/>
    </row>
    <row r="20" spans="1:4" x14ac:dyDescent="0.25">
      <c r="A20" s="7"/>
      <c r="B20" s="7"/>
      <c r="C20" s="7"/>
      <c r="D20" s="7"/>
    </row>
    <row r="21" spans="1:4" x14ac:dyDescent="0.25">
      <c r="A21" s="7"/>
      <c r="B21" s="7"/>
      <c r="C21" s="7"/>
      <c r="D21" s="7"/>
    </row>
    <row r="22" spans="1:4" x14ac:dyDescent="0.25">
      <c r="A22" s="7"/>
      <c r="B22" s="7"/>
      <c r="C22" s="7"/>
      <c r="D22" s="7"/>
    </row>
    <row r="23" spans="1:4" x14ac:dyDescent="0.25">
      <c r="A23" s="7"/>
      <c r="B23" s="7"/>
      <c r="C23" s="7"/>
      <c r="D23" s="7"/>
    </row>
    <row r="24" spans="1:4" x14ac:dyDescent="0.25">
      <c r="A24" s="7"/>
      <c r="B24" s="7"/>
      <c r="C24" s="7"/>
      <c r="D24" s="7"/>
    </row>
    <row r="25" spans="1:4" x14ac:dyDescent="0.25">
      <c r="A25" s="7"/>
      <c r="B25" s="7"/>
      <c r="C25" s="7"/>
      <c r="D25" s="7"/>
    </row>
    <row r="26" spans="1:4" x14ac:dyDescent="0.25">
      <c r="A26" s="7"/>
      <c r="B26" s="7"/>
      <c r="C26" s="7"/>
      <c r="D26" s="7"/>
    </row>
    <row r="27" spans="1:4" x14ac:dyDescent="0.25">
      <c r="A27" s="7"/>
      <c r="B27" s="7"/>
      <c r="C27" s="7"/>
      <c r="D27" s="7"/>
    </row>
    <row r="28" spans="1:4" x14ac:dyDescent="0.25">
      <c r="A28" s="7"/>
      <c r="B28" s="7"/>
      <c r="C28" s="7"/>
      <c r="D28" s="7"/>
    </row>
    <row r="29" spans="1:4" x14ac:dyDescent="0.25">
      <c r="A29" s="7"/>
      <c r="B29" s="7"/>
      <c r="C29" s="7"/>
      <c r="D29" s="7"/>
    </row>
    <row r="30" spans="1:4" x14ac:dyDescent="0.25">
      <c r="A30" s="7"/>
      <c r="B30" s="7"/>
      <c r="C30" s="7"/>
      <c r="D30" s="7"/>
    </row>
    <row r="31" spans="1:4" x14ac:dyDescent="0.25">
      <c r="A31" s="7"/>
      <c r="B31" s="7"/>
      <c r="C31" s="7"/>
      <c r="D31" s="7"/>
    </row>
    <row r="32" spans="1:4" x14ac:dyDescent="0.25">
      <c r="A32" s="7"/>
      <c r="B32" s="7"/>
      <c r="C32" s="7"/>
      <c r="D32" s="7"/>
    </row>
    <row r="33" spans="1:4" x14ac:dyDescent="0.25">
      <c r="A33" s="7"/>
      <c r="B33" s="7"/>
      <c r="C33" s="7"/>
      <c r="D33" s="7"/>
    </row>
    <row r="34" spans="1:4" x14ac:dyDescent="0.25">
      <c r="A34" s="7"/>
      <c r="B34" s="7"/>
      <c r="C34" s="7"/>
      <c r="D34" s="7"/>
    </row>
    <row r="35" spans="1:4" x14ac:dyDescent="0.25">
      <c r="A35" s="7"/>
      <c r="B35" s="7"/>
      <c r="C35" s="7"/>
      <c r="D35" s="7"/>
    </row>
    <row r="36" spans="1:4" x14ac:dyDescent="0.25">
      <c r="A36" s="7"/>
      <c r="B36" s="7"/>
      <c r="C36" s="7"/>
      <c r="D36" s="7"/>
    </row>
    <row r="37" spans="1:4" x14ac:dyDescent="0.25">
      <c r="A37" s="7"/>
      <c r="B37" s="7"/>
      <c r="C37" s="7"/>
      <c r="D37" s="7"/>
    </row>
    <row r="38" spans="1:4" x14ac:dyDescent="0.25">
      <c r="A38" s="7"/>
      <c r="B38" s="7"/>
      <c r="C38" s="7"/>
      <c r="D38" s="7"/>
    </row>
    <row r="39" spans="1:4" x14ac:dyDescent="0.25">
      <c r="A39" s="7"/>
      <c r="B39" s="7"/>
      <c r="C39" s="7"/>
      <c r="D39" s="7"/>
    </row>
    <row r="40" spans="1:4" x14ac:dyDescent="0.25">
      <c r="A40" s="7"/>
      <c r="B40" s="7"/>
      <c r="C40" s="7"/>
      <c r="D40" s="7"/>
    </row>
    <row r="41" spans="1:4" x14ac:dyDescent="0.25">
      <c r="A41" s="7"/>
      <c r="B41" s="7"/>
      <c r="C41" s="7"/>
      <c r="D41" s="7"/>
    </row>
    <row r="42" spans="1:4" x14ac:dyDescent="0.25">
      <c r="A42" s="7"/>
      <c r="B42" s="7"/>
      <c r="C42" s="7"/>
      <c r="D42" s="7"/>
    </row>
    <row r="43" spans="1:4" x14ac:dyDescent="0.25">
      <c r="A43" s="7"/>
      <c r="B43" s="7"/>
      <c r="C43" s="7"/>
      <c r="D43" s="7"/>
    </row>
    <row r="44" spans="1:4" x14ac:dyDescent="0.25">
      <c r="A44" s="7"/>
      <c r="B44" s="7"/>
      <c r="C44" s="7"/>
      <c r="D44" s="7"/>
    </row>
    <row r="45" spans="1:4" x14ac:dyDescent="0.25">
      <c r="A45" s="7"/>
      <c r="B45" s="7"/>
      <c r="C45" s="7"/>
      <c r="D45" s="7"/>
    </row>
    <row r="46" spans="1:4" x14ac:dyDescent="0.25">
      <c r="A46" s="7"/>
      <c r="B46" s="7"/>
      <c r="C46" s="7"/>
      <c r="D46" s="7"/>
    </row>
    <row r="47" spans="1:4" x14ac:dyDescent="0.25">
      <c r="A47" s="7"/>
      <c r="B47" s="7"/>
      <c r="C47" s="7"/>
      <c r="D47" s="7"/>
    </row>
    <row r="48" spans="1:4" x14ac:dyDescent="0.25">
      <c r="A48" s="7"/>
      <c r="B48" s="7"/>
      <c r="C48" s="7"/>
      <c r="D48" s="7"/>
    </row>
    <row r="49" spans="1:4" x14ac:dyDescent="0.25">
      <c r="A49" s="7"/>
      <c r="B49" s="7"/>
      <c r="C49" s="7"/>
      <c r="D49" s="7"/>
    </row>
    <row r="50" spans="1:4" x14ac:dyDescent="0.25">
      <c r="A50" s="7"/>
      <c r="B50" s="7"/>
      <c r="C50" s="7"/>
      <c r="D50" s="7"/>
    </row>
    <row r="51" spans="1:4" x14ac:dyDescent="0.25">
      <c r="A51" s="7"/>
      <c r="B51" s="7"/>
      <c r="C51" s="7"/>
      <c r="D51" s="7"/>
    </row>
    <row r="52" spans="1:4" x14ac:dyDescent="0.25">
      <c r="A52" s="7"/>
      <c r="B52" s="7"/>
      <c r="C52" s="7"/>
      <c r="D52" s="7"/>
    </row>
    <row r="53" spans="1:4" x14ac:dyDescent="0.25">
      <c r="A53" s="7"/>
      <c r="B53" s="7"/>
      <c r="C53" s="7"/>
      <c r="D53" s="7"/>
    </row>
    <row r="54" spans="1:4" x14ac:dyDescent="0.25">
      <c r="A54" s="7"/>
      <c r="B54" s="7"/>
      <c r="C54" s="7"/>
      <c r="D54" s="7"/>
    </row>
    <row r="55" spans="1:4" x14ac:dyDescent="0.25">
      <c r="A55" s="7"/>
      <c r="B55" s="7"/>
      <c r="C55" s="7"/>
      <c r="D55" s="7"/>
    </row>
    <row r="56" spans="1:4" x14ac:dyDescent="0.25">
      <c r="A56" s="7"/>
      <c r="B56" s="7"/>
      <c r="C56" s="7"/>
      <c r="D56" s="7"/>
    </row>
    <row r="57" spans="1:4" x14ac:dyDescent="0.25">
      <c r="A57" s="7"/>
      <c r="B57" s="7"/>
      <c r="C57" s="7"/>
      <c r="D57" s="7"/>
    </row>
    <row r="58" spans="1:4" x14ac:dyDescent="0.25">
      <c r="A58" s="7"/>
      <c r="B58" s="7"/>
      <c r="C58" s="7"/>
      <c r="D58" s="7"/>
    </row>
    <row r="59" spans="1:4" x14ac:dyDescent="0.25">
      <c r="A59" s="7"/>
      <c r="B59" s="7"/>
      <c r="C59" s="7"/>
      <c r="D59" s="7"/>
    </row>
    <row r="60" spans="1:4" x14ac:dyDescent="0.25">
      <c r="A60" s="7"/>
      <c r="B60" s="7"/>
      <c r="C60" s="7"/>
      <c r="D60" s="7"/>
    </row>
    <row r="61" spans="1:4" x14ac:dyDescent="0.25">
      <c r="A61" s="7"/>
      <c r="B61" s="7"/>
      <c r="C61" s="7"/>
      <c r="D61" s="7"/>
    </row>
    <row r="62" spans="1:4" x14ac:dyDescent="0.25">
      <c r="A62" s="7"/>
      <c r="B62" s="7"/>
      <c r="C62" s="7"/>
      <c r="D62" s="7"/>
    </row>
    <row r="63" spans="1:4" x14ac:dyDescent="0.25">
      <c r="A63" s="7"/>
      <c r="B63" s="7"/>
      <c r="C63" s="7"/>
      <c r="D63" s="7"/>
    </row>
    <row r="64" spans="1:4" x14ac:dyDescent="0.25">
      <c r="A64" s="7"/>
      <c r="B64" s="7"/>
      <c r="C64" s="7"/>
      <c r="D64" s="7"/>
    </row>
    <row r="65" spans="1:4" x14ac:dyDescent="0.25">
      <c r="A65" s="7"/>
      <c r="B65" s="7"/>
      <c r="C65" s="7"/>
      <c r="D65" s="7"/>
    </row>
    <row r="66" spans="1:4" x14ac:dyDescent="0.25">
      <c r="A66" s="7"/>
      <c r="B66" s="7"/>
      <c r="C66" s="7"/>
      <c r="D66" s="7"/>
    </row>
    <row r="67" spans="1:4" x14ac:dyDescent="0.25">
      <c r="A67" s="7"/>
      <c r="B67" s="7"/>
      <c r="C67" s="7"/>
      <c r="D67" s="7"/>
    </row>
    <row r="68" spans="1:4" x14ac:dyDescent="0.25">
      <c r="A68" s="7"/>
      <c r="B68" s="7"/>
      <c r="C68" s="7"/>
      <c r="D68" s="7"/>
    </row>
    <row r="69" spans="1:4" x14ac:dyDescent="0.25">
      <c r="A69" s="7"/>
      <c r="B69" s="7"/>
      <c r="C69" s="7"/>
      <c r="D69" s="7"/>
    </row>
    <row r="70" spans="1:4" x14ac:dyDescent="0.25">
      <c r="A70" s="7"/>
      <c r="B70" s="7"/>
      <c r="C70" s="7"/>
      <c r="D70" s="7"/>
    </row>
    <row r="71" spans="1:4" x14ac:dyDescent="0.25">
      <c r="A71" s="7"/>
      <c r="B71" s="7"/>
      <c r="C71" s="7"/>
      <c r="D71" s="7"/>
    </row>
    <row r="72" spans="1:4" x14ac:dyDescent="0.25">
      <c r="A72" s="7"/>
      <c r="B72" s="7"/>
      <c r="C72" s="7"/>
      <c r="D72" s="7"/>
    </row>
    <row r="73" spans="1:4" x14ac:dyDescent="0.25">
      <c r="A73" s="7"/>
      <c r="B73" s="7"/>
      <c r="C73" s="7"/>
      <c r="D73" s="7"/>
    </row>
    <row r="74" spans="1:4" x14ac:dyDescent="0.25">
      <c r="A74" s="7"/>
      <c r="B74" s="7"/>
      <c r="C74" s="7"/>
      <c r="D74" s="7"/>
    </row>
    <row r="75" spans="1:4" x14ac:dyDescent="0.25">
      <c r="A75" s="7"/>
      <c r="B75" s="7"/>
      <c r="C75" s="7"/>
      <c r="D75" s="7"/>
    </row>
    <row r="76" spans="1:4" x14ac:dyDescent="0.25">
      <c r="A76" s="7"/>
      <c r="B76" s="7"/>
      <c r="C76" s="7"/>
      <c r="D76" s="7"/>
    </row>
    <row r="77" spans="1:4" x14ac:dyDescent="0.25">
      <c r="A77" s="7"/>
      <c r="B77" s="7"/>
      <c r="C77" s="7"/>
      <c r="D77" s="7"/>
    </row>
    <row r="78" spans="1:4" x14ac:dyDescent="0.25">
      <c r="A78" s="7"/>
      <c r="B78" s="7"/>
      <c r="C78" s="7"/>
      <c r="D78" s="7"/>
    </row>
    <row r="79" spans="1:4" x14ac:dyDescent="0.25">
      <c r="A79" s="7"/>
      <c r="B79" s="7"/>
      <c r="C79" s="7"/>
      <c r="D79" s="7"/>
    </row>
    <row r="80" spans="1:4" x14ac:dyDescent="0.25">
      <c r="A80" s="7"/>
      <c r="B80" s="7"/>
      <c r="C80" s="7"/>
      <c r="D80" s="7"/>
    </row>
    <row r="81" spans="1:4" x14ac:dyDescent="0.25">
      <c r="A81" s="7"/>
      <c r="B81" s="7"/>
      <c r="C81" s="7"/>
      <c r="D81" s="7"/>
    </row>
    <row r="82" spans="1:4" x14ac:dyDescent="0.25">
      <c r="A82" s="7"/>
      <c r="B82" s="7"/>
      <c r="C82" s="7"/>
      <c r="D82" s="7"/>
    </row>
    <row r="83" spans="1:4" x14ac:dyDescent="0.25">
      <c r="A83" s="7"/>
      <c r="B83" s="7"/>
      <c r="C83" s="7"/>
      <c r="D83" s="7"/>
    </row>
    <row r="84" spans="1:4" x14ac:dyDescent="0.25">
      <c r="A84" s="7"/>
      <c r="B84" s="7"/>
      <c r="C84" s="7"/>
      <c r="D84" s="7"/>
    </row>
    <row r="85" spans="1:4" x14ac:dyDescent="0.25">
      <c r="A85" s="7"/>
      <c r="B85" s="7"/>
      <c r="C85" s="7"/>
      <c r="D85" s="7"/>
    </row>
    <row r="86" spans="1:4" x14ac:dyDescent="0.25">
      <c r="A86" s="7"/>
      <c r="B86" s="7"/>
      <c r="C86" s="7"/>
      <c r="D86" s="7"/>
    </row>
    <row r="87" spans="1:4" x14ac:dyDescent="0.25">
      <c r="A87" s="7"/>
      <c r="B87" s="7"/>
      <c r="C87" s="7"/>
      <c r="D87" s="7"/>
    </row>
    <row r="88" spans="1:4" x14ac:dyDescent="0.25">
      <c r="A88" s="7"/>
      <c r="B88" s="7"/>
      <c r="C88" s="7"/>
      <c r="D88" s="7"/>
    </row>
    <row r="89" spans="1:4" x14ac:dyDescent="0.25">
      <c r="A89" s="7"/>
      <c r="B89" s="7"/>
      <c r="C89" s="7"/>
      <c r="D89" s="7"/>
    </row>
    <row r="90" spans="1:4" x14ac:dyDescent="0.25">
      <c r="A90" s="7"/>
      <c r="B90" s="7"/>
      <c r="C90" s="7"/>
      <c r="D90" s="7"/>
    </row>
    <row r="91" spans="1:4" x14ac:dyDescent="0.25">
      <c r="A91" s="7"/>
      <c r="B91" s="7"/>
      <c r="C91" s="7"/>
      <c r="D91" s="7"/>
    </row>
    <row r="92" spans="1:4" x14ac:dyDescent="0.25">
      <c r="A92" s="7"/>
      <c r="B92" s="7"/>
      <c r="C92" s="7"/>
      <c r="D92" s="7"/>
    </row>
    <row r="93" spans="1:4" x14ac:dyDescent="0.25">
      <c r="A93" s="7"/>
      <c r="B93" s="7"/>
      <c r="C93" s="7"/>
      <c r="D93" s="7"/>
    </row>
    <row r="94" spans="1:4" x14ac:dyDescent="0.25">
      <c r="A94" s="7"/>
      <c r="B94" s="7"/>
      <c r="C94" s="7"/>
      <c r="D94" s="7"/>
    </row>
    <row r="95" spans="1:4" x14ac:dyDescent="0.25">
      <c r="A95" s="7"/>
      <c r="B95" s="7"/>
      <c r="C95" s="7"/>
      <c r="D95" s="7"/>
    </row>
    <row r="96" spans="1:4" x14ac:dyDescent="0.25">
      <c r="A96" s="7"/>
      <c r="B96" s="7"/>
      <c r="C96" s="7"/>
      <c r="D96" s="7"/>
    </row>
    <row r="97" spans="1:4" x14ac:dyDescent="0.25">
      <c r="A97" s="7"/>
      <c r="B97" s="7"/>
      <c r="C97" s="7"/>
      <c r="D97" s="7"/>
    </row>
    <row r="98" spans="1:4" x14ac:dyDescent="0.25">
      <c r="A98" s="7"/>
      <c r="B98" s="7"/>
      <c r="C98" s="7"/>
      <c r="D98" s="7"/>
    </row>
    <row r="99" spans="1:4" x14ac:dyDescent="0.25">
      <c r="A99" s="7"/>
      <c r="B99" s="7"/>
      <c r="C99" s="7"/>
      <c r="D99" s="7"/>
    </row>
    <row r="100" spans="1:4" x14ac:dyDescent="0.25">
      <c r="A100" s="7"/>
      <c r="B100" s="7"/>
      <c r="C100" s="7"/>
      <c r="D100" s="7"/>
    </row>
    <row r="101" spans="1:4" x14ac:dyDescent="0.25">
      <c r="A101" s="7"/>
      <c r="B101" s="7"/>
      <c r="C101" s="7"/>
      <c r="D101" s="7"/>
    </row>
    <row r="102" spans="1:4" x14ac:dyDescent="0.25">
      <c r="A102" s="7"/>
      <c r="B102" s="7"/>
      <c r="C102" s="7"/>
      <c r="D102" s="7"/>
    </row>
    <row r="103" spans="1:4" x14ac:dyDescent="0.25">
      <c r="A103" s="7"/>
      <c r="B103" s="7"/>
      <c r="C103" s="7"/>
      <c r="D103" s="7"/>
    </row>
    <row r="104" spans="1:4" x14ac:dyDescent="0.25">
      <c r="A104" s="7"/>
      <c r="B104" s="7"/>
      <c r="C104" s="7"/>
      <c r="D104" s="7"/>
    </row>
    <row r="105" spans="1:4" x14ac:dyDescent="0.25">
      <c r="A105" s="7"/>
      <c r="B105" s="7"/>
      <c r="C105" s="7"/>
      <c r="D105" s="7"/>
    </row>
    <row r="106" spans="1:4" x14ac:dyDescent="0.25">
      <c r="A106" s="7"/>
      <c r="B106" s="7"/>
      <c r="C106" s="7"/>
      <c r="D106" s="7"/>
    </row>
    <row r="107" spans="1:4" x14ac:dyDescent="0.25">
      <c r="A107" s="7"/>
      <c r="B107" s="7"/>
      <c r="C107" s="7"/>
      <c r="D107" s="7"/>
    </row>
    <row r="108" spans="1:4" x14ac:dyDescent="0.25">
      <c r="A108" s="7"/>
      <c r="B108" s="7"/>
      <c r="C108" s="7"/>
      <c r="D108" s="7"/>
    </row>
    <row r="109" spans="1:4" x14ac:dyDescent="0.25">
      <c r="A109" s="7"/>
      <c r="B109" s="7"/>
      <c r="C109" s="7"/>
      <c r="D109" s="7"/>
    </row>
    <row r="110" spans="1:4" x14ac:dyDescent="0.25">
      <c r="A110" s="7"/>
      <c r="B110" s="7"/>
      <c r="C110" s="7"/>
      <c r="D110" s="7"/>
    </row>
    <row r="111" spans="1:4" x14ac:dyDescent="0.25">
      <c r="A111" s="7"/>
      <c r="B111" s="7"/>
      <c r="C111" s="7"/>
      <c r="D111" s="7"/>
    </row>
    <row r="112" spans="1:4" x14ac:dyDescent="0.25">
      <c r="A112" s="7"/>
      <c r="B112" s="7"/>
      <c r="C112" s="7"/>
      <c r="D112" s="7"/>
    </row>
    <row r="113" spans="1:4" x14ac:dyDescent="0.25">
      <c r="A113" s="7"/>
      <c r="B113" s="7"/>
      <c r="C113" s="7"/>
      <c r="D113" s="7"/>
    </row>
    <row r="114" spans="1:4" x14ac:dyDescent="0.25">
      <c r="A114" s="7"/>
      <c r="B114" s="7"/>
      <c r="C114" s="7"/>
      <c r="D114" s="7"/>
    </row>
    <row r="115" spans="1:4" x14ac:dyDescent="0.25">
      <c r="A115" s="7"/>
      <c r="B115" s="7"/>
      <c r="C115" s="7"/>
      <c r="D115" s="7"/>
    </row>
    <row r="116" spans="1:4" x14ac:dyDescent="0.25">
      <c r="A116" s="7"/>
      <c r="B116" s="7"/>
      <c r="C116" s="7"/>
      <c r="D116" s="7"/>
    </row>
    <row r="117" spans="1:4" x14ac:dyDescent="0.25">
      <c r="A117" s="7"/>
      <c r="B117" s="7"/>
      <c r="C117" s="7"/>
      <c r="D117" s="7"/>
    </row>
    <row r="118" spans="1:4" x14ac:dyDescent="0.25">
      <c r="A118" s="7"/>
      <c r="B118" s="7"/>
      <c r="C118" s="7"/>
      <c r="D118" s="7"/>
    </row>
    <row r="119" spans="1:4" x14ac:dyDescent="0.25">
      <c r="A119" s="7"/>
      <c r="B119" s="7"/>
      <c r="C119" s="7"/>
      <c r="D119" s="7"/>
    </row>
    <row r="120" spans="1:4" x14ac:dyDescent="0.25">
      <c r="A120" s="7"/>
      <c r="B120" s="7"/>
      <c r="C120" s="7"/>
      <c r="D120" s="7"/>
    </row>
    <row r="121" spans="1:4" x14ac:dyDescent="0.25">
      <c r="A121" s="7"/>
      <c r="B121" s="7"/>
      <c r="C121" s="7"/>
      <c r="D121" s="7"/>
    </row>
    <row r="122" spans="1:4" x14ac:dyDescent="0.25">
      <c r="A122" s="7"/>
      <c r="B122" s="7"/>
      <c r="C122" s="7"/>
      <c r="D122" s="7"/>
    </row>
    <row r="123" spans="1:4" x14ac:dyDescent="0.25">
      <c r="A123" s="7"/>
      <c r="B123" s="7"/>
      <c r="C123" s="7"/>
      <c r="D123" s="7"/>
    </row>
    <row r="124" spans="1:4" x14ac:dyDescent="0.25">
      <c r="A124" s="7"/>
      <c r="B124" s="7"/>
      <c r="C124" s="7"/>
      <c r="D124" s="7"/>
    </row>
    <row r="125" spans="1:4" x14ac:dyDescent="0.25">
      <c r="A125" s="7"/>
      <c r="B125" s="7"/>
      <c r="C125" s="7"/>
      <c r="D125" s="7"/>
    </row>
    <row r="126" spans="1:4" x14ac:dyDescent="0.25">
      <c r="A126" s="7"/>
      <c r="B126" s="7"/>
      <c r="C126" s="7"/>
      <c r="D126" s="7"/>
    </row>
    <row r="127" spans="1:4" x14ac:dyDescent="0.25">
      <c r="A127" s="7"/>
      <c r="B127" s="7"/>
      <c r="C127" s="7"/>
      <c r="D127" s="7"/>
    </row>
    <row r="128" spans="1:4" x14ac:dyDescent="0.25">
      <c r="A128" s="7"/>
      <c r="B128" s="7"/>
      <c r="C128" s="7"/>
      <c r="D128" s="7"/>
    </row>
    <row r="129" spans="1:4" x14ac:dyDescent="0.25">
      <c r="A129" s="7"/>
      <c r="B129" s="7"/>
      <c r="C129" s="7"/>
      <c r="D129" s="7"/>
    </row>
    <row r="130" spans="1:4" x14ac:dyDescent="0.25">
      <c r="A130" s="7"/>
      <c r="B130" s="7"/>
      <c r="C130" s="7"/>
      <c r="D130" s="7"/>
    </row>
    <row r="131" spans="1:4" x14ac:dyDescent="0.25">
      <c r="A131" s="7"/>
      <c r="B131" s="7"/>
      <c r="C131" s="7"/>
      <c r="D131" s="7"/>
    </row>
    <row r="132" spans="1:4" x14ac:dyDescent="0.25">
      <c r="A132" s="7"/>
      <c r="B132" s="7"/>
      <c r="C132" s="7"/>
      <c r="D132" s="7"/>
    </row>
    <row r="133" spans="1:4" x14ac:dyDescent="0.25">
      <c r="A133" s="7"/>
      <c r="B133" s="7"/>
      <c r="C133" s="7"/>
      <c r="D133" s="7"/>
    </row>
    <row r="134" spans="1:4" x14ac:dyDescent="0.25">
      <c r="A134" s="7"/>
      <c r="B134" s="7"/>
      <c r="C134" s="7"/>
      <c r="D134" s="7"/>
    </row>
    <row r="135" spans="1:4" x14ac:dyDescent="0.25">
      <c r="A135" s="7"/>
      <c r="B135" s="7"/>
      <c r="C135" s="7"/>
      <c r="D135" s="7"/>
    </row>
    <row r="136" spans="1:4" x14ac:dyDescent="0.25">
      <c r="A136" s="7"/>
      <c r="B136" s="7"/>
      <c r="C136" s="7"/>
      <c r="D136" s="7"/>
    </row>
    <row r="137" spans="1:4" x14ac:dyDescent="0.25">
      <c r="A137" s="7"/>
      <c r="B137" s="7"/>
      <c r="C137" s="7"/>
      <c r="D137" s="7"/>
    </row>
    <row r="138" spans="1:4" x14ac:dyDescent="0.25">
      <c r="A138" s="7"/>
      <c r="B138" s="7"/>
      <c r="C138" s="7"/>
      <c r="D138" s="7"/>
    </row>
    <row r="139" spans="1:4" x14ac:dyDescent="0.25">
      <c r="A139" s="7"/>
      <c r="B139" s="7"/>
      <c r="C139" s="7"/>
      <c r="D139" s="7"/>
    </row>
    <row r="140" spans="1:4" x14ac:dyDescent="0.25">
      <c r="A140" s="7"/>
      <c r="B140" s="7"/>
      <c r="C140" s="7"/>
      <c r="D140" s="7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7"/>
      <c r="B146" s="7"/>
      <c r="C146" s="7"/>
      <c r="D146" s="7"/>
    </row>
    <row r="147" spans="1:4" x14ac:dyDescent="0.25">
      <c r="A147" s="7"/>
      <c r="B147" s="7"/>
      <c r="C147" s="7"/>
      <c r="D147" s="7"/>
    </row>
    <row r="148" spans="1:4" x14ac:dyDescent="0.25">
      <c r="A148" s="7"/>
      <c r="B148" s="7"/>
      <c r="C148" s="7"/>
      <c r="D148" s="7"/>
    </row>
    <row r="149" spans="1:4" x14ac:dyDescent="0.25">
      <c r="A149" s="7"/>
      <c r="B149" s="7"/>
      <c r="C149" s="7"/>
      <c r="D149" s="7"/>
    </row>
    <row r="150" spans="1:4" x14ac:dyDescent="0.25">
      <c r="A150" s="7"/>
      <c r="B150" s="7"/>
      <c r="C150" s="7"/>
      <c r="D150" s="7"/>
    </row>
    <row r="151" spans="1:4" x14ac:dyDescent="0.25">
      <c r="A151" s="7"/>
      <c r="B151" s="7"/>
      <c r="C151" s="7"/>
      <c r="D151" s="7"/>
    </row>
    <row r="152" spans="1:4" x14ac:dyDescent="0.25">
      <c r="A152" s="7"/>
      <c r="B152" s="7"/>
      <c r="C152" s="7"/>
      <c r="D152" s="7"/>
    </row>
    <row r="153" spans="1:4" x14ac:dyDescent="0.25">
      <c r="A153" s="7"/>
      <c r="B153" s="7"/>
      <c r="C153" s="7"/>
      <c r="D153" s="7"/>
    </row>
    <row r="154" spans="1:4" x14ac:dyDescent="0.25">
      <c r="A154" s="7"/>
      <c r="B154" s="7"/>
      <c r="C154" s="7"/>
      <c r="D154" s="7"/>
    </row>
    <row r="155" spans="1:4" x14ac:dyDescent="0.25">
      <c r="A155" s="7"/>
      <c r="B155" s="7"/>
      <c r="C155" s="7"/>
      <c r="D155" s="7"/>
    </row>
    <row r="156" spans="1:4" x14ac:dyDescent="0.25">
      <c r="A156" s="7"/>
      <c r="B156" s="7"/>
      <c r="C156" s="7"/>
      <c r="D156" s="7"/>
    </row>
    <row r="157" spans="1:4" x14ac:dyDescent="0.25">
      <c r="A157" s="7"/>
      <c r="B157" s="7"/>
      <c r="C157" s="7"/>
      <c r="D157" s="7"/>
    </row>
    <row r="158" spans="1:4" x14ac:dyDescent="0.25">
      <c r="A158" s="7"/>
      <c r="B158" s="7"/>
      <c r="C158" s="7"/>
      <c r="D158" s="7"/>
    </row>
    <row r="159" spans="1:4" x14ac:dyDescent="0.25">
      <c r="A159" s="7"/>
      <c r="B159" s="7"/>
      <c r="C159" s="7"/>
      <c r="D159" s="7"/>
    </row>
    <row r="160" spans="1:4" x14ac:dyDescent="0.25">
      <c r="A160" s="7"/>
      <c r="B160" s="7"/>
      <c r="C160" s="7"/>
      <c r="D160" s="7"/>
    </row>
    <row r="161" spans="1:4" x14ac:dyDescent="0.25">
      <c r="A161" s="7"/>
      <c r="B161" s="7"/>
      <c r="C161" s="7"/>
      <c r="D161" s="7"/>
    </row>
    <row r="162" spans="1:4" x14ac:dyDescent="0.25">
      <c r="A162" s="7"/>
      <c r="B162" s="7"/>
      <c r="C162" s="7"/>
      <c r="D162" s="7"/>
    </row>
    <row r="163" spans="1:4" x14ac:dyDescent="0.25">
      <c r="A163" s="7"/>
      <c r="B163" s="7"/>
      <c r="C163" s="7"/>
      <c r="D163" s="7"/>
    </row>
    <row r="164" spans="1:4" x14ac:dyDescent="0.25">
      <c r="A164" s="7"/>
      <c r="B164" s="7"/>
      <c r="C164" s="7"/>
      <c r="D164" s="7"/>
    </row>
    <row r="165" spans="1:4" x14ac:dyDescent="0.25">
      <c r="A165" s="7"/>
      <c r="B165" s="7"/>
      <c r="C165" s="7"/>
      <c r="D165" s="7"/>
    </row>
    <row r="166" spans="1:4" x14ac:dyDescent="0.25">
      <c r="A166" s="7"/>
      <c r="B166" s="7"/>
      <c r="C166" s="7"/>
      <c r="D166" s="7"/>
    </row>
    <row r="167" spans="1:4" x14ac:dyDescent="0.25">
      <c r="A167" s="7"/>
      <c r="B167" s="7"/>
      <c r="C167" s="7"/>
      <c r="D167" s="7"/>
    </row>
    <row r="168" spans="1:4" x14ac:dyDescent="0.25">
      <c r="A168" s="7"/>
      <c r="B168" s="7"/>
      <c r="C168" s="7"/>
      <c r="D168" s="7"/>
    </row>
    <row r="169" spans="1:4" x14ac:dyDescent="0.25">
      <c r="A169" s="7"/>
      <c r="B169" s="7"/>
      <c r="C169" s="7"/>
      <c r="D169" s="7"/>
    </row>
    <row r="170" spans="1:4" x14ac:dyDescent="0.25">
      <c r="A170" s="7"/>
      <c r="B170" s="7"/>
      <c r="C170" s="7"/>
      <c r="D170" s="7"/>
    </row>
    <row r="171" spans="1:4" x14ac:dyDescent="0.25">
      <c r="A171" s="7"/>
      <c r="B171" s="7"/>
      <c r="C171" s="7"/>
      <c r="D171" s="7"/>
    </row>
    <row r="172" spans="1:4" x14ac:dyDescent="0.25">
      <c r="A172" s="7"/>
      <c r="B172" s="7"/>
      <c r="C172" s="7"/>
      <c r="D172" s="7"/>
    </row>
    <row r="173" spans="1:4" x14ac:dyDescent="0.25">
      <c r="A173" s="7"/>
      <c r="B173" s="7"/>
      <c r="C173" s="7"/>
      <c r="D173" s="7"/>
    </row>
    <row r="174" spans="1:4" x14ac:dyDescent="0.25">
      <c r="A174" s="7"/>
      <c r="B174" s="7"/>
      <c r="C174" s="7"/>
      <c r="D174" s="7"/>
    </row>
    <row r="175" spans="1:4" x14ac:dyDescent="0.25">
      <c r="A175" s="7"/>
      <c r="B175" s="7"/>
      <c r="C175" s="7"/>
      <c r="D175" s="7"/>
    </row>
    <row r="176" spans="1:4" x14ac:dyDescent="0.25">
      <c r="A176" s="7"/>
      <c r="B176" s="7"/>
      <c r="C176" s="7"/>
      <c r="D176" s="7"/>
    </row>
    <row r="177" spans="1:4" x14ac:dyDescent="0.25">
      <c r="A177" s="7"/>
      <c r="B177" s="7"/>
      <c r="C177" s="7"/>
      <c r="D177" s="7"/>
    </row>
    <row r="178" spans="1:4" x14ac:dyDescent="0.25">
      <c r="A178" s="7"/>
      <c r="B178" s="7"/>
      <c r="C178" s="7"/>
      <c r="D178" s="7"/>
    </row>
    <row r="179" spans="1:4" x14ac:dyDescent="0.25">
      <c r="A179" s="7"/>
      <c r="B179" s="7"/>
      <c r="C179" s="7"/>
      <c r="D179" s="7"/>
    </row>
    <row r="180" spans="1:4" x14ac:dyDescent="0.25">
      <c r="A180" s="7"/>
      <c r="B180" s="7"/>
      <c r="C180" s="7"/>
      <c r="D180" s="7"/>
    </row>
    <row r="181" spans="1:4" x14ac:dyDescent="0.25">
      <c r="A181" s="7"/>
      <c r="B181" s="7"/>
      <c r="C181" s="7"/>
      <c r="D181" s="7"/>
    </row>
    <row r="182" spans="1:4" x14ac:dyDescent="0.25">
      <c r="A182" s="7"/>
      <c r="B182" s="7"/>
      <c r="C182" s="7"/>
      <c r="D182" s="7"/>
    </row>
    <row r="183" spans="1:4" x14ac:dyDescent="0.25">
      <c r="A183" s="7"/>
      <c r="B183" s="7"/>
      <c r="C183" s="7"/>
      <c r="D183" s="7"/>
    </row>
    <row r="184" spans="1:4" x14ac:dyDescent="0.25">
      <c r="A184" s="7"/>
      <c r="B184" s="7"/>
      <c r="C184" s="7"/>
      <c r="D184" s="7"/>
    </row>
    <row r="185" spans="1:4" x14ac:dyDescent="0.25">
      <c r="A185" s="7"/>
      <c r="B185" s="7"/>
      <c r="C185" s="7"/>
      <c r="D185" s="7"/>
    </row>
    <row r="186" spans="1:4" x14ac:dyDescent="0.25">
      <c r="A186" s="7"/>
      <c r="B186" s="7"/>
      <c r="C186" s="7"/>
      <c r="D186" s="7"/>
    </row>
    <row r="187" spans="1:4" x14ac:dyDescent="0.25">
      <c r="A187" s="7"/>
      <c r="B187" s="7"/>
      <c r="C187" s="7"/>
      <c r="D187" s="7"/>
    </row>
    <row r="188" spans="1:4" x14ac:dyDescent="0.25">
      <c r="A188" s="7"/>
      <c r="B188" s="7"/>
      <c r="C188" s="7"/>
      <c r="D188" s="7"/>
    </row>
    <row r="189" spans="1:4" x14ac:dyDescent="0.25">
      <c r="A189" s="7"/>
      <c r="B189" s="7"/>
      <c r="C189" s="7"/>
      <c r="D189" s="7"/>
    </row>
    <row r="190" spans="1:4" x14ac:dyDescent="0.25">
      <c r="A190" s="7"/>
      <c r="B190" s="7"/>
      <c r="C190" s="7"/>
      <c r="D190" s="7"/>
    </row>
    <row r="191" spans="1:4" x14ac:dyDescent="0.25">
      <c r="A191" s="7"/>
      <c r="B191" s="7"/>
      <c r="C191" s="7"/>
      <c r="D191" s="7"/>
    </row>
    <row r="192" spans="1:4" x14ac:dyDescent="0.25">
      <c r="A192" s="7"/>
      <c r="B192" s="7"/>
      <c r="C192" s="7"/>
      <c r="D192" s="7"/>
    </row>
    <row r="193" spans="1:4" x14ac:dyDescent="0.25">
      <c r="A193" s="7"/>
      <c r="B193" s="7"/>
      <c r="C193" s="7"/>
      <c r="D193" s="7"/>
    </row>
    <row r="194" spans="1:4" x14ac:dyDescent="0.25">
      <c r="A194" s="7"/>
      <c r="B194" s="7"/>
      <c r="C194" s="7"/>
      <c r="D194" s="7"/>
    </row>
    <row r="195" spans="1:4" x14ac:dyDescent="0.25">
      <c r="A195" s="7"/>
      <c r="B195" s="7"/>
      <c r="C195" s="7"/>
      <c r="D195" s="7"/>
    </row>
    <row r="196" spans="1:4" x14ac:dyDescent="0.25">
      <c r="A196" s="7"/>
      <c r="B196" s="7"/>
      <c r="C196" s="7"/>
      <c r="D196" s="7"/>
    </row>
    <row r="197" spans="1:4" x14ac:dyDescent="0.25">
      <c r="A197" s="7"/>
      <c r="B197" s="7"/>
      <c r="C197" s="7"/>
      <c r="D197" s="7"/>
    </row>
    <row r="198" spans="1:4" x14ac:dyDescent="0.25">
      <c r="A198" s="7"/>
      <c r="B198" s="7"/>
      <c r="C198" s="7"/>
      <c r="D198" s="7"/>
    </row>
    <row r="199" spans="1:4" x14ac:dyDescent="0.25">
      <c r="A199" s="7"/>
      <c r="B199" s="7"/>
      <c r="C199" s="7"/>
      <c r="D199" s="7"/>
    </row>
    <row r="200" spans="1:4" x14ac:dyDescent="0.25">
      <c r="A200" s="7"/>
      <c r="B200" s="7"/>
      <c r="C200" s="7"/>
      <c r="D200" s="7"/>
    </row>
    <row r="201" spans="1:4" x14ac:dyDescent="0.25">
      <c r="A201" s="7"/>
      <c r="B201" s="7"/>
      <c r="C201" s="7"/>
      <c r="D201" s="7"/>
    </row>
    <row r="202" spans="1:4" x14ac:dyDescent="0.25">
      <c r="A202" s="7"/>
      <c r="B202" s="7"/>
      <c r="C202" s="7"/>
      <c r="D202" s="7"/>
    </row>
  </sheetData>
  <dataValidations count="2">
    <dataValidation type="list" allowBlank="1" errorTitle="Valor inválido" error="Escolha um valor da lista." sqref="B3:B202" xr:uid="{00000000-0002-0000-0400-000000000000}">
      <formula1>"ANF,J1,J2,J3,J4,J5,J6,J7,J8"</formula1>
    </dataValidation>
    <dataValidation type="whole" allowBlank="1" sqref="C3:C202" xr:uid="{00000000-0002-0000-0400-000001000000}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12</vt:i4>
      </vt:variant>
    </vt:vector>
  </HeadingPairs>
  <TitlesOfParts>
    <vt:vector size="17" baseType="lpstr">
      <vt:lpstr>Leia-me</vt:lpstr>
      <vt:lpstr>Resumo</vt:lpstr>
      <vt:lpstr>Sessoes</vt:lpstr>
      <vt:lpstr>Partidas</vt:lpstr>
      <vt:lpstr>Notas</vt:lpstr>
      <vt:lpstr>amostra_T2</vt:lpstr>
      <vt:lpstr>amostra_T3</vt:lpstr>
      <vt:lpstr>amostra_T4</vt:lpstr>
      <vt:lpstr>copa_ok</vt:lpstr>
      <vt:lpstr>fps_config</vt:lpstr>
      <vt:lpstr>limitacao</vt:lpstr>
      <vt:lpstr>meta_enc</vt:lpstr>
      <vt:lpstr>meta_enc30</vt:lpstr>
      <vt:lpstr>meta_enc60</vt:lpstr>
      <vt:lpstr>meta_nota</vt:lpstr>
      <vt:lpstr>meta_ping</vt:lpstr>
      <vt:lpstr>meta_quedas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Broetto</cp:lastModifiedBy>
  <dcterms:created xsi:type="dcterms:W3CDTF">2026-10-16T00:48:42Z</dcterms:created>
  <dcterms:modified xsi:type="dcterms:W3CDTF">2026-10-16T00:49:00Z</dcterms:modified>
</cp:coreProperties>
</file>